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tliveupsedu-my.sharepoint.com/personal/flugmana_est_ups_edu_ec/Documents/Documentos/Sistema Ferreteria/"/>
    </mc:Choice>
  </mc:AlternateContent>
  <xr:revisionPtr revIDLastSave="1283" documentId="13_ncr:1_{D32BAD8F-7DD3-42BF-B236-0A32843E00E4}" xr6:coauthVersionLast="47" xr6:coauthVersionMax="47" xr10:uidLastSave="{2F2C6C0D-5AE6-4B99-8F6A-0713FCC121BA}"/>
  <bookViews>
    <workbookView xWindow="-120" yWindow="-120" windowWidth="29040" windowHeight="15720" firstSheet="1" activeTab="1" xr2:uid="{0D55A124-3C51-4249-840F-6CBDC71D8763}"/>
  </bookViews>
  <sheets>
    <sheet name="Menu" sheetId="1" r:id="rId1"/>
    <sheet name="Productos" sheetId="9" r:id="rId2"/>
    <sheet name="Movimientos" sheetId="2" r:id="rId3"/>
    <sheet name="Ventas" sheetId="3" r:id="rId4"/>
    <sheet name="Compras" sheetId="4" r:id="rId5"/>
    <sheet name="Reporte Ventas" sheetId="10" r:id="rId6"/>
    <sheet name="Reporte Compras" sheetId="5" r:id="rId7"/>
    <sheet name="Reporte Unitario" sheetId="6" r:id="rId8"/>
    <sheet name="Clientes" sheetId="7" r:id="rId9"/>
    <sheet name="movimiento" sheetId="13" r:id="rId10"/>
    <sheet name="Factura" sheetId="8" r:id="rId11"/>
  </sheets>
  <definedNames>
    <definedName name="codigo_producto">PRODUTOS[Codigo]</definedName>
    <definedName name="lista_movimientos">Tabla3[movimientos]</definedName>
    <definedName name="lista_productos">PRODUTOS[Codigo]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0" i="9" l="1"/>
  <c r="H410" i="9"/>
  <c r="B37" i="9"/>
  <c r="H37" i="9"/>
  <c r="B524" i="9"/>
  <c r="H524" i="9"/>
  <c r="B604" i="9"/>
  <c r="H604" i="9"/>
  <c r="B543" i="9"/>
  <c r="H543" i="9"/>
  <c r="B542" i="9"/>
  <c r="H542" i="9"/>
  <c r="B546" i="9"/>
  <c r="H546" i="9"/>
  <c r="B545" i="9"/>
  <c r="H545" i="9"/>
  <c r="B544" i="9"/>
  <c r="H544" i="9"/>
  <c r="B648" i="9"/>
  <c r="H648" i="9"/>
  <c r="F584" i="9"/>
  <c r="B609" i="9"/>
  <c r="H609" i="9"/>
  <c r="B610" i="9"/>
  <c r="H610" i="9"/>
  <c r="B389" i="9"/>
  <c r="H389" i="9"/>
  <c r="B388" i="9"/>
  <c r="H388" i="9"/>
  <c r="B244" i="9"/>
  <c r="H244" i="9"/>
  <c r="B194" i="9"/>
  <c r="H194" i="9"/>
  <c r="B261" i="9"/>
  <c r="H261" i="9"/>
  <c r="B260" i="9"/>
  <c r="H260" i="9"/>
  <c r="B146" i="9"/>
  <c r="H146" i="9"/>
  <c r="B145" i="9"/>
  <c r="H145" i="9"/>
  <c r="B141" i="9"/>
  <c r="H141" i="9"/>
  <c r="B302" i="9"/>
  <c r="H302" i="9"/>
  <c r="B301" i="9"/>
  <c r="H301" i="9"/>
  <c r="B334" i="9"/>
  <c r="H334" i="9"/>
  <c r="B142" i="9"/>
  <c r="H142" i="9"/>
  <c r="B144" i="9"/>
  <c r="H144" i="9"/>
  <c r="B143" i="9"/>
  <c r="H143" i="9"/>
  <c r="B579" i="9"/>
  <c r="H579" i="9"/>
  <c r="B460" i="9"/>
  <c r="H460" i="9"/>
  <c r="B44" i="9"/>
  <c r="H44" i="9"/>
  <c r="B43" i="9"/>
  <c r="H43" i="9"/>
  <c r="B45" i="9"/>
  <c r="H45" i="9"/>
  <c r="B71" i="9"/>
  <c r="H71" i="9"/>
  <c r="B82" i="9"/>
  <c r="H82" i="9"/>
  <c r="B85" i="9"/>
  <c r="H85" i="9"/>
  <c r="B64" i="9"/>
  <c r="H64" i="9"/>
  <c r="B75" i="9"/>
  <c r="H75" i="9"/>
  <c r="B84" i="9"/>
  <c r="H84" i="9"/>
  <c r="B78" i="9"/>
  <c r="H78" i="9"/>
  <c r="B83" i="9"/>
  <c r="H83" i="9"/>
  <c r="B77" i="9"/>
  <c r="H77" i="9"/>
  <c r="B73" i="9"/>
  <c r="H73" i="9"/>
  <c r="B70" i="9"/>
  <c r="H70" i="9"/>
  <c r="B86" i="9"/>
  <c r="H86" i="9"/>
  <c r="B80" i="9"/>
  <c r="H80" i="9"/>
  <c r="B76" i="9"/>
  <c r="H76" i="9"/>
  <c r="B74" i="9"/>
  <c r="H74" i="9"/>
  <c r="B81" i="9"/>
  <c r="H81" i="9"/>
  <c r="B87" i="9"/>
  <c r="H87" i="9"/>
  <c r="B72" i="9"/>
  <c r="H72" i="9"/>
  <c r="B69" i="9"/>
  <c r="H69" i="9"/>
  <c r="B60" i="9"/>
  <c r="H60" i="9"/>
  <c r="B79" i="9"/>
  <c r="H79" i="9"/>
  <c r="B65" i="9"/>
  <c r="H65" i="9"/>
  <c r="B66" i="9"/>
  <c r="H66" i="9"/>
  <c r="B68" i="9"/>
  <c r="H68" i="9"/>
  <c r="B67" i="9"/>
  <c r="H67" i="9"/>
  <c r="B62" i="9"/>
  <c r="H62" i="9"/>
  <c r="B61" i="9"/>
  <c r="H61" i="9"/>
  <c r="B63" i="9"/>
  <c r="H63" i="9"/>
  <c r="B331" i="9"/>
  <c r="H331" i="9"/>
  <c r="B606" i="9"/>
  <c r="H606" i="9"/>
  <c r="B273" i="9"/>
  <c r="H273" i="9"/>
  <c r="B29" i="9"/>
  <c r="H29" i="9"/>
  <c r="B424" i="9"/>
  <c r="H424" i="9"/>
  <c r="B423" i="9"/>
  <c r="H423" i="9"/>
  <c r="B422" i="9"/>
  <c r="H422" i="9"/>
  <c r="B339" i="9"/>
  <c r="H339" i="9"/>
  <c r="B333" i="9"/>
  <c r="H333" i="9"/>
  <c r="B338" i="9"/>
  <c r="H338" i="9"/>
  <c r="B259" i="9"/>
  <c r="H259" i="9"/>
  <c r="B300" i="9"/>
  <c r="H300" i="9"/>
  <c r="B327" i="9"/>
  <c r="H327" i="9"/>
  <c r="B428" i="9"/>
  <c r="H428" i="9"/>
  <c r="B426" i="9"/>
  <c r="H426" i="9"/>
  <c r="B425" i="9"/>
  <c r="H425" i="9"/>
  <c r="B427" i="9"/>
  <c r="H427" i="9"/>
  <c r="B556" i="9"/>
  <c r="H556" i="9"/>
  <c r="B382" i="9"/>
  <c r="H382" i="9"/>
  <c r="B32" i="9"/>
  <c r="H32" i="9"/>
  <c r="B558" i="9"/>
  <c r="H558" i="9"/>
  <c r="B557" i="9"/>
  <c r="H557" i="9"/>
  <c r="B433" i="9"/>
  <c r="H433" i="9"/>
  <c r="B459" i="9"/>
  <c r="H459" i="9"/>
  <c r="B440" i="9"/>
  <c r="H440" i="9"/>
  <c r="B123" i="9"/>
  <c r="H123" i="9"/>
  <c r="B603" i="9"/>
  <c r="H603" i="9"/>
  <c r="B263" i="9"/>
  <c r="H263" i="9"/>
  <c r="B54" i="9"/>
  <c r="H54" i="9"/>
  <c r="B57" i="9"/>
  <c r="H57" i="9"/>
  <c r="B55" i="9"/>
  <c r="H55" i="9"/>
  <c r="B56" i="9"/>
  <c r="H56" i="9"/>
  <c r="B58" i="9"/>
  <c r="H58" i="9"/>
  <c r="B59" i="9"/>
  <c r="H59" i="9"/>
  <c r="B209" i="9"/>
  <c r="H209" i="9"/>
  <c r="B217" i="9"/>
  <c r="H217" i="9"/>
  <c r="B218" i="9"/>
  <c r="H218" i="9"/>
  <c r="B213" i="9"/>
  <c r="H213" i="9"/>
  <c r="B214" i="9"/>
  <c r="H214" i="9"/>
  <c r="B212" i="9"/>
  <c r="H212" i="9"/>
  <c r="B216" i="9"/>
  <c r="H216" i="9"/>
  <c r="B211" i="9"/>
  <c r="H211" i="9"/>
  <c r="B215" i="9"/>
  <c r="H215" i="9"/>
  <c r="B210" i="9"/>
  <c r="H210" i="9"/>
  <c r="B205" i="9"/>
  <c r="H205" i="9"/>
  <c r="B206" i="9"/>
  <c r="H206" i="9"/>
  <c r="B207" i="9"/>
  <c r="H207" i="9"/>
  <c r="B204" i="9"/>
  <c r="H204" i="9"/>
  <c r="B201" i="9"/>
  <c r="H201" i="9"/>
  <c r="B208" i="9"/>
  <c r="H208" i="9"/>
  <c r="B203" i="9"/>
  <c r="H203" i="9"/>
  <c r="B202" i="9"/>
  <c r="H202" i="9"/>
  <c r="B200" i="9"/>
  <c r="H200" i="9"/>
  <c r="B284" i="9"/>
  <c r="H284" i="9"/>
  <c r="B354" i="9"/>
  <c r="H354" i="9"/>
  <c r="B355" i="9"/>
  <c r="H355" i="9"/>
  <c r="B353" i="9"/>
  <c r="H353" i="9"/>
  <c r="B352" i="9"/>
  <c r="H352" i="9"/>
  <c r="B150" i="9"/>
  <c r="H150" i="9"/>
  <c r="B457" i="9"/>
  <c r="H457" i="9"/>
  <c r="B191" i="9"/>
  <c r="H191" i="9"/>
  <c r="B192" i="9"/>
  <c r="H192" i="9"/>
  <c r="B285" i="9"/>
  <c r="H285" i="9"/>
  <c r="B281" i="9"/>
  <c r="H281" i="9"/>
  <c r="B283" i="9"/>
  <c r="H283" i="9"/>
  <c r="B282" i="9"/>
  <c r="H282" i="9"/>
  <c r="B379" i="9"/>
  <c r="H379" i="9"/>
  <c r="B199" i="9"/>
  <c r="H199" i="9"/>
  <c r="B412" i="9"/>
  <c r="H412" i="9"/>
  <c r="B337" i="9"/>
  <c r="H337" i="9"/>
  <c r="B384" i="9"/>
  <c r="H384" i="9"/>
  <c r="B439" i="9"/>
  <c r="H439" i="9"/>
  <c r="B600" i="9"/>
  <c r="H600" i="9"/>
  <c r="B463" i="9"/>
  <c r="H463" i="9"/>
  <c r="B42" i="9"/>
  <c r="H42" i="9"/>
  <c r="B659" i="9"/>
  <c r="H659" i="9"/>
  <c r="B41" i="9"/>
  <c r="H41" i="9"/>
  <c r="B415" i="9"/>
  <c r="H415" i="9"/>
  <c r="B265" i="9"/>
  <c r="H265" i="9"/>
  <c r="B264" i="9"/>
  <c r="H264" i="9"/>
  <c r="B356" i="9"/>
  <c r="H356" i="9"/>
  <c r="B358" i="9"/>
  <c r="H358" i="9"/>
  <c r="B350" i="9"/>
  <c r="H350" i="9"/>
  <c r="B357" i="9"/>
  <c r="H357" i="9"/>
  <c r="B351" i="9"/>
  <c r="H351" i="9"/>
  <c r="B359" i="9"/>
  <c r="H359" i="9"/>
  <c r="B361" i="9"/>
  <c r="H361" i="9"/>
  <c r="B360" i="9"/>
  <c r="H360" i="9"/>
  <c r="B362" i="9"/>
  <c r="H362" i="9"/>
  <c r="B363" i="9"/>
  <c r="H363" i="9"/>
  <c r="B480" i="9"/>
  <c r="H480" i="9"/>
  <c r="B297" i="9"/>
  <c r="H297" i="9"/>
  <c r="B296" i="9"/>
  <c r="H296" i="9"/>
  <c r="B295" i="9"/>
  <c r="H295" i="9"/>
  <c r="B294" i="9"/>
  <c r="H294" i="9"/>
  <c r="B195" i="9"/>
  <c r="H195" i="9"/>
  <c r="B307" i="9"/>
  <c r="H307" i="9"/>
  <c r="B303" i="9"/>
  <c r="H303" i="9"/>
  <c r="B315" i="9"/>
  <c r="H315" i="9"/>
  <c r="B314" i="9"/>
  <c r="H314" i="9"/>
  <c r="B310" i="9"/>
  <c r="H310" i="9"/>
  <c r="B309" i="9"/>
  <c r="H309" i="9"/>
  <c r="B305" i="9"/>
  <c r="H305" i="9"/>
  <c r="B304" i="9"/>
  <c r="H304" i="9"/>
  <c r="B311" i="9"/>
  <c r="H311" i="9"/>
  <c r="B313" i="9"/>
  <c r="H313" i="9"/>
  <c r="B306" i="9"/>
  <c r="H306" i="9"/>
  <c r="B312" i="9"/>
  <c r="H312" i="9"/>
  <c r="B308" i="9"/>
  <c r="H308" i="9"/>
  <c r="B274" i="9"/>
  <c r="H274" i="9"/>
  <c r="B275" i="9"/>
  <c r="H275" i="9"/>
  <c r="B238" i="9"/>
  <c r="H238" i="9"/>
  <c r="B237" i="9"/>
  <c r="H237" i="9"/>
  <c r="B619" i="9"/>
  <c r="B617" i="9"/>
  <c r="B615" i="9"/>
  <c r="B613" i="9"/>
  <c r="H619" i="9"/>
  <c r="H617" i="9"/>
  <c r="H615" i="9"/>
  <c r="H613" i="9"/>
  <c r="B612" i="9"/>
  <c r="H612" i="9"/>
  <c r="B614" i="9"/>
  <c r="H614" i="9"/>
  <c r="B616" i="9"/>
  <c r="H616" i="9"/>
  <c r="B618" i="9"/>
  <c r="H618" i="9"/>
  <c r="B318" i="9"/>
  <c r="H318" i="9"/>
  <c r="B153" i="9"/>
  <c r="H153" i="9"/>
  <c r="B152" i="9"/>
  <c r="H152" i="9"/>
  <c r="B319" i="9"/>
  <c r="H319" i="9"/>
  <c r="B196" i="9"/>
  <c r="H196" i="9"/>
  <c r="B317" i="9"/>
  <c r="H317" i="9"/>
  <c r="B316" i="9"/>
  <c r="H316" i="9"/>
  <c r="B277" i="9"/>
  <c r="H277" i="9"/>
  <c r="B608" i="9"/>
  <c r="H608" i="9"/>
  <c r="B159" i="9"/>
  <c r="H159" i="9"/>
  <c r="B160" i="9"/>
  <c r="H160" i="9"/>
  <c r="B571" i="9"/>
  <c r="H571" i="9"/>
  <c r="B605" i="9"/>
  <c r="H605" i="9"/>
  <c r="B27" i="9"/>
  <c r="H27" i="9"/>
  <c r="B188" i="9"/>
  <c r="H188" i="9"/>
  <c r="B109" i="9"/>
  <c r="H109" i="9"/>
  <c r="B328" i="9"/>
  <c r="H328" i="9"/>
  <c r="B28" i="9"/>
  <c r="H28" i="9"/>
  <c r="B24" i="9"/>
  <c r="H24" i="9"/>
  <c r="B23" i="9"/>
  <c r="H23" i="9"/>
  <c r="B417" i="9"/>
  <c r="H417" i="9"/>
  <c r="B262" i="9"/>
  <c r="H262" i="9"/>
  <c r="B46" i="9"/>
  <c r="H46" i="9"/>
  <c r="B51" i="9"/>
  <c r="H51" i="9"/>
  <c r="B555" i="9"/>
  <c r="H555" i="9"/>
  <c r="B570" i="9"/>
  <c r="H570" i="9"/>
  <c r="B569" i="9"/>
  <c r="H569" i="9"/>
  <c r="B607" i="9"/>
  <c r="H607" i="9"/>
  <c r="B416" i="9"/>
  <c r="H416" i="9"/>
  <c r="B329" i="9"/>
  <c r="H329" i="9"/>
  <c r="B525" i="9"/>
  <c r="H525" i="9"/>
  <c r="B26" i="9"/>
  <c r="H26" i="9"/>
  <c r="B25" i="9"/>
  <c r="H25" i="9"/>
  <c r="B52" i="9"/>
  <c r="H52" i="9"/>
  <c r="B53" i="9"/>
  <c r="H53" i="9"/>
  <c r="B450" i="9"/>
  <c r="H450" i="9"/>
  <c r="B523" i="9"/>
  <c r="H523" i="9"/>
  <c r="B521" i="9"/>
  <c r="H521" i="9"/>
  <c r="B447" i="9"/>
  <c r="H447" i="9"/>
  <c r="B451" i="9"/>
  <c r="H451" i="9"/>
  <c r="B448" i="9"/>
  <c r="H448" i="9"/>
  <c r="B446" i="9"/>
  <c r="H446" i="9"/>
  <c r="B522" i="9"/>
  <c r="H522" i="9"/>
  <c r="B449" i="9"/>
  <c r="H449" i="9"/>
  <c r="B151" i="9"/>
  <c r="H151" i="9"/>
  <c r="B21" i="9"/>
  <c r="H21" i="9"/>
  <c r="B18" i="9"/>
  <c r="H18" i="9"/>
  <c r="B19" i="9"/>
  <c r="H19" i="9"/>
  <c r="B20" i="9"/>
  <c r="H20" i="9"/>
  <c r="B326" i="9"/>
  <c r="H326" i="9"/>
  <c r="B340" i="9"/>
  <c r="H340" i="9"/>
  <c r="B6" i="9"/>
  <c r="H6" i="9"/>
  <c r="B189" i="9"/>
  <c r="H189" i="9"/>
  <c r="B190" i="9"/>
  <c r="H190" i="9"/>
  <c r="B578" i="9"/>
  <c r="H578" i="9"/>
  <c r="B387" i="9"/>
  <c r="H387" i="9"/>
  <c r="B124" i="9"/>
  <c r="H124" i="9"/>
  <c r="B112" i="9"/>
  <c r="H112" i="9"/>
  <c r="B113" i="9"/>
  <c r="H113" i="9"/>
  <c r="B116" i="9"/>
  <c r="H116" i="9"/>
  <c r="B115" i="9"/>
  <c r="H115" i="9"/>
  <c r="B114" i="9"/>
  <c r="H114" i="9"/>
  <c r="B117" i="9"/>
  <c r="H117" i="9"/>
  <c r="B111" i="9"/>
  <c r="H111" i="9"/>
  <c r="B110" i="9"/>
  <c r="H110" i="9"/>
  <c r="B286" i="9"/>
  <c r="H286" i="9"/>
  <c r="B122" i="9"/>
  <c r="H122" i="9"/>
  <c r="B121" i="9"/>
  <c r="H121" i="9"/>
  <c r="B118" i="9"/>
  <c r="H118" i="9"/>
  <c r="B119" i="9"/>
  <c r="H119" i="9"/>
  <c r="B120" i="9"/>
  <c r="H120" i="9"/>
  <c r="B394" i="9"/>
  <c r="H394" i="9"/>
  <c r="B566" i="9"/>
  <c r="H566" i="9"/>
  <c r="B565" i="9"/>
  <c r="H565" i="9"/>
  <c r="B568" i="9"/>
  <c r="H568" i="9"/>
  <c r="B567" i="9"/>
  <c r="H567" i="9"/>
  <c r="B476" i="9"/>
  <c r="H476" i="9"/>
  <c r="B477" i="9"/>
  <c r="H477" i="9"/>
  <c r="B479" i="9"/>
  <c r="H479" i="9"/>
  <c r="B478" i="9"/>
  <c r="H478" i="9"/>
  <c r="B280" i="9"/>
  <c r="H280" i="9"/>
  <c r="B494" i="9"/>
  <c r="H494" i="9"/>
  <c r="B391" i="9"/>
  <c r="H391" i="9"/>
  <c r="B390" i="9"/>
  <c r="H390" i="9"/>
  <c r="B392" i="9"/>
  <c r="H392" i="9"/>
  <c r="B414" i="9"/>
  <c r="H414" i="9"/>
  <c r="B413" i="9"/>
  <c r="H413" i="9"/>
  <c r="B375" i="9"/>
  <c r="H375" i="9"/>
  <c r="B374" i="9"/>
  <c r="H374" i="9"/>
  <c r="B377" i="9"/>
  <c r="H377" i="9"/>
  <c r="B373" i="9"/>
  <c r="H373" i="9"/>
  <c r="B368" i="9"/>
  <c r="H368" i="9"/>
  <c r="B369" i="9"/>
  <c r="H369" i="9"/>
  <c r="B371" i="9"/>
  <c r="H371" i="9"/>
  <c r="B372" i="9"/>
  <c r="H372" i="9"/>
  <c r="B376" i="9"/>
  <c r="H376" i="9"/>
  <c r="B370" i="9"/>
  <c r="H370" i="9"/>
  <c r="B378" i="9"/>
  <c r="H378" i="9"/>
  <c r="B366" i="9"/>
  <c r="H366" i="9"/>
  <c r="B365" i="9"/>
  <c r="H365" i="9"/>
  <c r="B483" i="9"/>
  <c r="H483" i="9"/>
  <c r="B482" i="9"/>
  <c r="H482" i="9"/>
  <c r="B484" i="9"/>
  <c r="H484" i="9"/>
  <c r="B400" i="9"/>
  <c r="H400" i="9"/>
  <c r="B393" i="9"/>
  <c r="H393" i="9"/>
  <c r="B248" i="9"/>
  <c r="H248" i="9"/>
  <c r="B250" i="9"/>
  <c r="H250" i="9"/>
  <c r="B249" i="9"/>
  <c r="H249" i="9"/>
  <c r="B247" i="9"/>
  <c r="H247" i="9"/>
  <c r="B330" i="9"/>
  <c r="H330" i="9"/>
  <c r="B487" i="9"/>
  <c r="H487" i="9"/>
  <c r="B488" i="9"/>
  <c r="H488" i="9"/>
  <c r="B245" i="9"/>
  <c r="H245" i="9"/>
  <c r="B490" i="9"/>
  <c r="H490" i="9"/>
  <c r="B489" i="9"/>
  <c r="H489" i="9"/>
  <c r="B475" i="9"/>
  <c r="H475" i="9"/>
  <c r="B472" i="9"/>
  <c r="H472" i="9"/>
  <c r="B473" i="9"/>
  <c r="H473" i="9"/>
  <c r="B474" i="9"/>
  <c r="H474" i="9"/>
  <c r="B470" i="9"/>
  <c r="H470" i="9"/>
  <c r="B471" i="9"/>
  <c r="H471" i="9"/>
  <c r="B462" i="9"/>
  <c r="H462" i="9"/>
  <c r="B12" i="9"/>
  <c r="H12" i="9"/>
  <c r="B7" i="9"/>
  <c r="H7" i="9"/>
  <c r="B11" i="9"/>
  <c r="H11" i="9"/>
  <c r="B15" i="9"/>
  <c r="H15" i="9"/>
  <c r="B258" i="9"/>
  <c r="H258" i="9"/>
  <c r="B528" i="9"/>
  <c r="H528" i="9"/>
  <c r="B526" i="9"/>
  <c r="H526" i="9"/>
  <c r="B240" i="9"/>
  <c r="H240" i="9"/>
  <c r="B527" i="9"/>
  <c r="H527" i="9"/>
  <c r="B257" i="9"/>
  <c r="H257" i="9"/>
  <c r="B239" i="9"/>
  <c r="H239" i="9"/>
  <c r="B16" i="9"/>
  <c r="H16" i="9"/>
  <c r="B9" i="9"/>
  <c r="H9" i="9"/>
  <c r="B8" i="9"/>
  <c r="H8" i="9"/>
  <c r="B504" i="9"/>
  <c r="H504" i="9"/>
  <c r="B503" i="9"/>
  <c r="H503" i="9"/>
  <c r="B502" i="9"/>
  <c r="H502" i="9"/>
  <c r="B505" i="9"/>
  <c r="H505" i="9"/>
  <c r="B243" i="9"/>
  <c r="H243" i="9"/>
  <c r="B252" i="9"/>
  <c r="H252" i="9"/>
  <c r="B13" i="9"/>
  <c r="H13" i="9"/>
  <c r="B14" i="9"/>
  <c r="H14" i="9"/>
  <c r="B22" i="9"/>
  <c r="H22" i="9"/>
  <c r="B458" i="9"/>
  <c r="H458" i="9"/>
  <c r="B336" i="9"/>
  <c r="H336" i="9"/>
  <c r="B481" i="9"/>
  <c r="H481" i="9"/>
  <c r="B435" i="9"/>
  <c r="H435" i="9"/>
  <c r="B434" i="9"/>
  <c r="H434" i="9"/>
  <c r="B399" i="9"/>
  <c r="H399" i="9"/>
  <c r="B398" i="9"/>
  <c r="H398" i="9"/>
  <c r="B438" i="9"/>
  <c r="H438" i="9"/>
  <c r="B436" i="9"/>
  <c r="H436" i="9"/>
  <c r="B437" i="9"/>
  <c r="H437" i="9"/>
  <c r="B276" i="9"/>
  <c r="H276" i="9"/>
  <c r="B485" i="9"/>
  <c r="H485" i="9"/>
  <c r="B486" i="9"/>
  <c r="H486" i="9"/>
  <c r="B491" i="9"/>
  <c r="H491" i="9"/>
  <c r="B441" i="9"/>
  <c r="H441" i="9"/>
  <c r="B443" i="9"/>
  <c r="H443" i="9"/>
  <c r="B442" i="9"/>
  <c r="H442" i="9"/>
  <c r="B325" i="9"/>
  <c r="H325" i="9"/>
  <c r="B39" i="9"/>
  <c r="H39" i="9"/>
  <c r="B38" i="9"/>
  <c r="H38" i="9"/>
  <c r="B40" i="9"/>
  <c r="H40" i="9"/>
  <c r="B586" i="9"/>
  <c r="H586" i="9"/>
  <c r="B658" i="9"/>
  <c r="H658" i="9"/>
  <c r="B657" i="9"/>
  <c r="H657" i="9"/>
  <c r="B181" i="9"/>
  <c r="H181" i="9"/>
  <c r="B174" i="9"/>
  <c r="H174" i="9"/>
  <c r="B180" i="9"/>
  <c r="H180" i="9"/>
  <c r="B467" i="9"/>
  <c r="H467" i="9"/>
  <c r="B468" i="9"/>
  <c r="H468" i="9"/>
  <c r="B466" i="9"/>
  <c r="H466" i="9"/>
  <c r="B469" i="9"/>
  <c r="H469" i="9"/>
  <c r="B640" i="9"/>
  <c r="H640" i="9"/>
  <c r="B638" i="9"/>
  <c r="H638" i="9"/>
  <c r="B636" i="9"/>
  <c r="H636" i="9"/>
  <c r="B639" i="9"/>
  <c r="H639" i="9"/>
  <c r="B562" i="9"/>
  <c r="H562" i="9"/>
  <c r="B559" i="9"/>
  <c r="H559" i="9"/>
  <c r="B563" i="9"/>
  <c r="H563" i="9"/>
  <c r="B560" i="9"/>
  <c r="H560" i="9"/>
  <c r="B564" i="9"/>
  <c r="H564" i="9"/>
  <c r="B561" i="9"/>
  <c r="H561" i="9"/>
  <c r="B655" i="9"/>
  <c r="H655" i="9"/>
  <c r="B654" i="9"/>
  <c r="H654" i="9"/>
  <c r="B594" i="9"/>
  <c r="H594" i="9"/>
  <c r="B595" i="9"/>
  <c r="H595" i="9"/>
  <c r="B589" i="9"/>
  <c r="H589" i="9"/>
  <c r="B508" i="9"/>
  <c r="H508" i="9"/>
  <c r="B511" i="9"/>
  <c r="H511" i="9"/>
  <c r="B656" i="9"/>
  <c r="H656" i="9"/>
  <c r="B596" i="9"/>
  <c r="H596" i="9"/>
  <c r="B179" i="9"/>
  <c r="H179" i="9"/>
  <c r="B182" i="9"/>
  <c r="H182" i="9"/>
  <c r="B592" i="9"/>
  <c r="H592" i="9"/>
  <c r="B650" i="9"/>
  <c r="H650" i="9"/>
  <c r="B653" i="9"/>
  <c r="H653" i="9"/>
  <c r="B652" i="9"/>
  <c r="H652" i="9"/>
  <c r="B591" i="9"/>
  <c r="H591" i="9"/>
  <c r="B507" i="9"/>
  <c r="H507" i="9"/>
  <c r="B510" i="9"/>
  <c r="H510" i="9"/>
  <c r="B593" i="9"/>
  <c r="H593" i="9"/>
  <c r="B177" i="9"/>
  <c r="H177" i="9"/>
  <c r="B178" i="9"/>
  <c r="H178" i="9"/>
  <c r="B506" i="9"/>
  <c r="H506" i="9"/>
  <c r="B509" i="9"/>
  <c r="H509" i="9"/>
  <c r="B590" i="9"/>
  <c r="H590" i="9"/>
  <c r="B651" i="9"/>
  <c r="H651" i="9"/>
  <c r="B175" i="9"/>
  <c r="H175" i="9"/>
  <c r="B176" i="9"/>
  <c r="H176" i="9"/>
  <c r="B156" i="9"/>
  <c r="H156" i="9"/>
  <c r="B158" i="9"/>
  <c r="H158" i="9"/>
  <c r="B157" i="9"/>
  <c r="H157" i="9"/>
  <c r="B154" i="9"/>
  <c r="H154" i="9"/>
  <c r="B549" i="9"/>
  <c r="H549" i="9"/>
  <c r="B550" i="9"/>
  <c r="H550" i="9"/>
  <c r="B554" i="9"/>
  <c r="H554" i="9"/>
  <c r="B553" i="9"/>
  <c r="H553" i="9"/>
  <c r="B547" i="9"/>
  <c r="H547" i="9"/>
  <c r="B548" i="9"/>
  <c r="H548" i="9"/>
  <c r="B551" i="9"/>
  <c r="H551" i="9"/>
  <c r="B552" i="9"/>
  <c r="H552" i="9"/>
  <c r="B335" i="9"/>
  <c r="H335" i="9"/>
  <c r="B598" i="9"/>
  <c r="H598" i="9"/>
  <c r="B599" i="9"/>
  <c r="H599" i="9"/>
  <c r="B597" i="9"/>
  <c r="H597" i="9"/>
  <c r="B299" i="9"/>
  <c r="H299" i="9"/>
  <c r="B581" i="9"/>
  <c r="H581" i="9"/>
  <c r="B580" i="9"/>
  <c r="H580" i="9"/>
  <c r="B601" i="9"/>
  <c r="H601" i="9"/>
  <c r="B332" i="9"/>
  <c r="H332" i="9"/>
  <c r="B411" i="9"/>
  <c r="H411" i="9"/>
  <c r="B602" i="9"/>
  <c r="H602" i="9"/>
  <c r="B90" i="9"/>
  <c r="H90" i="9"/>
  <c r="B91" i="9"/>
  <c r="H91" i="9"/>
  <c r="B88" i="9"/>
  <c r="H88" i="9"/>
  <c r="B89" i="9"/>
  <c r="H89" i="9"/>
  <c r="B278" i="9"/>
  <c r="H278" i="9"/>
  <c r="B279" i="9"/>
  <c r="H279" i="9"/>
  <c r="B429" i="9"/>
  <c r="H429" i="9"/>
  <c r="B431" i="9"/>
  <c r="H431" i="9"/>
  <c r="B430" i="9"/>
  <c r="H430" i="9"/>
  <c r="B432" i="9"/>
  <c r="H432" i="9"/>
  <c r="B520" i="9"/>
  <c r="H520" i="9"/>
  <c r="B461" i="9"/>
  <c r="H461" i="9"/>
  <c r="B287" i="9"/>
  <c r="H287" i="9"/>
  <c r="B288" i="9"/>
  <c r="H288" i="9"/>
  <c r="B289" i="9"/>
  <c r="H289" i="9"/>
  <c r="B456" i="9"/>
  <c r="H456" i="9"/>
  <c r="B31" i="9"/>
  <c r="H31" i="9"/>
  <c r="B30" i="9"/>
  <c r="H30" i="9"/>
  <c r="B455" i="9"/>
  <c r="H455" i="9"/>
  <c r="B367" i="9"/>
  <c r="H367" i="9"/>
  <c r="B454" i="9"/>
  <c r="H454" i="9"/>
  <c r="B453" i="9"/>
  <c r="H453" i="9"/>
  <c r="B293" i="9"/>
  <c r="H293" i="9"/>
  <c r="B290" i="9"/>
  <c r="H290" i="9"/>
  <c r="B291" i="9"/>
  <c r="H291" i="9"/>
  <c r="B292" i="9"/>
  <c r="H292" i="9"/>
  <c r="B231" i="9"/>
  <c r="H231" i="9"/>
  <c r="B234" i="9"/>
  <c r="H234" i="9"/>
  <c r="B229" i="9"/>
  <c r="H229" i="9"/>
  <c r="B232" i="9"/>
  <c r="H232" i="9"/>
  <c r="B235" i="9"/>
  <c r="H235" i="9"/>
  <c r="B233" i="9"/>
  <c r="H233" i="9"/>
  <c r="B224" i="9"/>
  <c r="H224" i="9"/>
  <c r="B230" i="9"/>
  <c r="H230" i="9"/>
  <c r="B222" i="9"/>
  <c r="H222" i="9"/>
  <c r="B219" i="9"/>
  <c r="H219" i="9"/>
  <c r="B220" i="9"/>
  <c r="H220" i="9"/>
  <c r="B227" i="9"/>
  <c r="H227" i="9"/>
  <c r="B226" i="9"/>
  <c r="H226" i="9"/>
  <c r="B228" i="9"/>
  <c r="H228" i="9"/>
  <c r="B225" i="9"/>
  <c r="H225" i="9"/>
  <c r="B223" i="9"/>
  <c r="H223" i="9"/>
  <c r="B221" i="9"/>
  <c r="H221" i="9"/>
  <c r="B236" i="9"/>
  <c r="H236" i="9"/>
  <c r="B186" i="9"/>
  <c r="H186" i="9"/>
  <c r="B185" i="9"/>
  <c r="H185" i="9"/>
  <c r="B187" i="9"/>
  <c r="H187" i="9"/>
  <c r="B184" i="9"/>
  <c r="H184" i="9"/>
  <c r="B183" i="9"/>
  <c r="H183" i="9"/>
  <c r="B396" i="9"/>
  <c r="H396" i="9"/>
  <c r="B395" i="9"/>
  <c r="H395" i="9"/>
  <c r="B134" i="9"/>
  <c r="H134" i="9"/>
  <c r="B136" i="9"/>
  <c r="H136" i="9"/>
  <c r="B127" i="9"/>
  <c r="H127" i="9"/>
  <c r="B140" i="9"/>
  <c r="H140" i="9"/>
  <c r="B126" i="9"/>
  <c r="H126" i="9"/>
  <c r="B125" i="9"/>
  <c r="H125" i="9"/>
  <c r="B135" i="9"/>
  <c r="H135" i="9"/>
  <c r="B131" i="9"/>
  <c r="H131" i="9"/>
  <c r="B132" i="9"/>
  <c r="H132" i="9"/>
  <c r="B128" i="9"/>
  <c r="H128" i="9"/>
  <c r="B129" i="9"/>
  <c r="H129" i="9"/>
  <c r="B130" i="9"/>
  <c r="H130" i="9"/>
  <c r="B133" i="9"/>
  <c r="H133" i="9"/>
  <c r="B139" i="9"/>
  <c r="H139" i="9"/>
  <c r="B138" i="9"/>
  <c r="H138" i="9"/>
  <c r="B137" i="9"/>
  <c r="H137" i="9"/>
  <c r="B255" i="9"/>
  <c r="H255" i="9"/>
  <c r="B386" i="9"/>
  <c r="H386" i="9"/>
  <c r="B198" i="9"/>
  <c r="H198" i="9"/>
  <c r="B197" i="9"/>
  <c r="H197" i="9"/>
  <c r="B496" i="9"/>
  <c r="H496" i="9"/>
  <c r="B495" i="9"/>
  <c r="H495" i="9"/>
  <c r="B254" i="9"/>
  <c r="H254" i="9"/>
  <c r="B381" i="9"/>
  <c r="H381" i="9"/>
  <c r="B380" i="9"/>
  <c r="H380" i="9"/>
  <c r="B341" i="9"/>
  <c r="H341" i="9"/>
  <c r="B444" i="9"/>
  <c r="H444" i="9"/>
  <c r="B383" i="9"/>
  <c r="H383" i="9"/>
  <c r="B271" i="9"/>
  <c r="H271" i="9"/>
  <c r="B272" i="9"/>
  <c r="H272" i="9"/>
  <c r="B269" i="9"/>
  <c r="H269" i="9"/>
  <c r="B270" i="9"/>
  <c r="H270" i="9"/>
  <c r="B266" i="9"/>
  <c r="H266" i="9"/>
  <c r="B267" i="9"/>
  <c r="H267" i="9"/>
  <c r="B268" i="9"/>
  <c r="H268" i="9"/>
  <c r="B95" i="9"/>
  <c r="H95" i="9"/>
  <c r="B99" i="9"/>
  <c r="H99" i="9"/>
  <c r="B98" i="9"/>
  <c r="H98" i="9"/>
  <c r="B93" i="9"/>
  <c r="H93" i="9"/>
  <c r="B102" i="9"/>
  <c r="H102" i="9"/>
  <c r="B92" i="9"/>
  <c r="H92" i="9"/>
  <c r="B94" i="9"/>
  <c r="H94" i="9"/>
  <c r="B100" i="9"/>
  <c r="H100" i="9"/>
  <c r="B101" i="9"/>
  <c r="H101" i="9"/>
  <c r="B97" i="9"/>
  <c r="H97" i="9"/>
  <c r="B96" i="9"/>
  <c r="H96" i="9"/>
  <c r="B385" i="9"/>
  <c r="H385" i="9"/>
  <c r="B347" i="9"/>
  <c r="H347" i="9"/>
  <c r="B253" i="9"/>
  <c r="H253" i="9"/>
  <c r="B251" i="9"/>
  <c r="H251" i="9"/>
  <c r="B324" i="9"/>
  <c r="H324" i="9"/>
  <c r="B321" i="9"/>
  <c r="H321" i="9"/>
  <c r="B320" i="9"/>
  <c r="H320" i="9"/>
  <c r="B322" i="9"/>
  <c r="H322" i="9"/>
  <c r="B323" i="9"/>
  <c r="H323" i="9"/>
  <c r="B298" i="9"/>
  <c r="H298" i="9"/>
  <c r="B155" i="9"/>
  <c r="H155" i="9"/>
  <c r="B515" i="9"/>
  <c r="H515" i="9"/>
  <c r="B493" i="9"/>
  <c r="H493" i="9"/>
  <c r="B492" i="9"/>
  <c r="H492" i="9"/>
  <c r="B346" i="9"/>
  <c r="H346" i="9"/>
  <c r="B397" i="9"/>
  <c r="H397" i="9"/>
  <c r="B541" i="9"/>
  <c r="H541" i="9"/>
  <c r="B538" i="9"/>
  <c r="H538" i="9"/>
  <c r="B534" i="9"/>
  <c r="H534" i="9"/>
  <c r="B535" i="9"/>
  <c r="H535" i="9"/>
  <c r="B540" i="9"/>
  <c r="H540" i="9"/>
  <c r="B530" i="9"/>
  <c r="H530" i="9"/>
  <c r="B537" i="9"/>
  <c r="H537" i="9"/>
  <c r="B533" i="9"/>
  <c r="H533" i="9"/>
  <c r="B531" i="9"/>
  <c r="H531" i="9"/>
  <c r="B532" i="9"/>
  <c r="H532" i="9"/>
  <c r="B539" i="9"/>
  <c r="H539" i="9"/>
  <c r="B529" i="9"/>
  <c r="H529" i="9"/>
  <c r="B536" i="9"/>
  <c r="H536" i="9"/>
  <c r="B10" i="9"/>
  <c r="H10" i="9"/>
  <c r="B256" i="9"/>
  <c r="H256" i="9"/>
  <c r="B241" i="9"/>
  <c r="H241" i="9"/>
  <c r="B242" i="9"/>
  <c r="H242" i="9"/>
  <c r="B108" i="9"/>
  <c r="H108" i="9"/>
  <c r="B501" i="9"/>
  <c r="H501" i="9"/>
  <c r="B498" i="9"/>
  <c r="H498" i="9"/>
  <c r="B500" i="9"/>
  <c r="H500" i="9"/>
  <c r="B497" i="9"/>
  <c r="H497" i="9"/>
  <c r="B499" i="9"/>
  <c r="H499" i="9"/>
  <c r="B246" i="9"/>
  <c r="H246" i="9"/>
  <c r="B611" i="9"/>
  <c r="H611" i="9"/>
  <c r="B588" i="9"/>
  <c r="H588" i="9"/>
  <c r="B587" i="9"/>
  <c r="H587" i="9"/>
  <c r="B633" i="9"/>
  <c r="H633" i="9"/>
  <c r="B649" i="9"/>
  <c r="H649" i="9"/>
  <c r="B635" i="9"/>
  <c r="H635" i="9"/>
  <c r="B173" i="9"/>
  <c r="H173" i="9"/>
  <c r="B631" i="9"/>
  <c r="H631" i="9"/>
  <c r="B634" i="9"/>
  <c r="H634" i="9"/>
  <c r="B632" i="9"/>
  <c r="H632" i="9"/>
  <c r="B630" i="9"/>
  <c r="H630" i="9"/>
  <c r="B625" i="9"/>
  <c r="H625" i="9"/>
  <c r="B624" i="9"/>
  <c r="H624" i="9"/>
  <c r="B574" i="9"/>
  <c r="H574" i="9"/>
  <c r="B166" i="9"/>
  <c r="H166" i="9"/>
  <c r="B163" i="9"/>
  <c r="H163" i="9"/>
  <c r="B623" i="9"/>
  <c r="H623" i="9"/>
  <c r="B583" i="9"/>
  <c r="H583" i="9"/>
  <c r="B164" i="9"/>
  <c r="H164" i="9"/>
  <c r="B642" i="9"/>
  <c r="H642" i="9"/>
  <c r="B582" i="9"/>
  <c r="H582" i="9"/>
  <c r="B165" i="9"/>
  <c r="H165" i="9"/>
  <c r="B627" i="9"/>
  <c r="H627" i="9"/>
  <c r="B514" i="9"/>
  <c r="H514" i="9"/>
  <c r="B513" i="9"/>
  <c r="H513" i="9"/>
  <c r="B637" i="9"/>
  <c r="H637" i="9"/>
  <c r="B402" i="9"/>
  <c r="H402" i="9"/>
  <c r="B572" i="9"/>
  <c r="H572" i="9"/>
  <c r="B106" i="9"/>
  <c r="H106" i="9"/>
  <c r="B622" i="9"/>
  <c r="H622" i="9"/>
  <c r="B103" i="9"/>
  <c r="H103" i="9"/>
  <c r="B629" i="9"/>
  <c r="H629" i="9"/>
  <c r="B167" i="9"/>
  <c r="H167" i="9"/>
  <c r="B512" i="9"/>
  <c r="H512" i="9"/>
  <c r="B518" i="9"/>
  <c r="H518" i="9"/>
  <c r="B621" i="9"/>
  <c r="H621" i="9"/>
  <c r="B519" i="9"/>
  <c r="H519" i="9"/>
  <c r="B517" i="9"/>
  <c r="H517" i="9"/>
  <c r="B516" i="9"/>
  <c r="H516" i="9"/>
  <c r="B161" i="9"/>
  <c r="H161" i="9"/>
  <c r="B33" i="9"/>
  <c r="H33" i="9"/>
  <c r="B34" i="9"/>
  <c r="H34" i="9"/>
  <c r="B36" i="9"/>
  <c r="H36" i="9"/>
  <c r="B35" i="9"/>
  <c r="H35" i="9"/>
  <c r="B452" i="9"/>
  <c r="H452" i="9"/>
  <c r="B641" i="9"/>
  <c r="H641" i="9"/>
  <c r="B445" i="9"/>
  <c r="H445" i="9"/>
  <c r="B620" i="9"/>
  <c r="H620" i="9"/>
  <c r="B401" i="9"/>
  <c r="H401" i="9"/>
  <c r="B162" i="9"/>
  <c r="H162" i="9"/>
  <c r="B104" i="9"/>
  <c r="H104" i="9"/>
  <c r="B105" i="9"/>
  <c r="H105" i="9"/>
  <c r="B576" i="9"/>
  <c r="H576" i="9"/>
  <c r="B573" i="9"/>
  <c r="H573" i="9"/>
  <c r="B348" i="9"/>
  <c r="H348" i="9"/>
  <c r="B193" i="9"/>
  <c r="H193" i="9"/>
  <c r="B17" i="9"/>
  <c r="H17" i="9"/>
  <c r="B645" i="9"/>
  <c r="H645" i="9"/>
  <c r="B409" i="9"/>
  <c r="H409" i="9"/>
  <c r="B646" i="9"/>
  <c r="H646" i="9"/>
  <c r="B647" i="9"/>
  <c r="H647" i="9"/>
  <c r="B408" i="9"/>
  <c r="H408" i="9"/>
  <c r="B349" i="9"/>
  <c r="H349" i="9"/>
  <c r="B172" i="9"/>
  <c r="H172" i="9"/>
  <c r="B403" i="9"/>
  <c r="H403" i="9"/>
  <c r="B577" i="9"/>
  <c r="H577" i="9"/>
  <c r="B575" i="9"/>
  <c r="H575" i="9"/>
  <c r="B464" i="9"/>
  <c r="H464" i="9"/>
  <c r="B465" i="9"/>
  <c r="H465" i="9"/>
  <c r="B628" i="9"/>
  <c r="H628" i="9"/>
  <c r="B343" i="9"/>
  <c r="H343" i="9"/>
  <c r="B419" i="9"/>
  <c r="H419" i="9"/>
  <c r="B585" i="9"/>
  <c r="H585" i="9"/>
  <c r="B418" i="9"/>
  <c r="H418" i="9"/>
  <c r="B644" i="9"/>
  <c r="H644" i="9"/>
  <c r="B147" i="9"/>
  <c r="H147" i="9"/>
  <c r="B342" i="9"/>
  <c r="H342" i="9"/>
  <c r="B170" i="9"/>
  <c r="H170" i="9"/>
  <c r="B344" i="9"/>
  <c r="H344" i="9"/>
  <c r="B345" i="9"/>
  <c r="H345" i="9"/>
  <c r="B420" i="9"/>
  <c r="H420" i="9"/>
  <c r="B421" i="9"/>
  <c r="H421" i="9"/>
  <c r="B364" i="9"/>
  <c r="H364" i="9"/>
  <c r="B148" i="9"/>
  <c r="H148" i="9"/>
  <c r="B149" i="9"/>
  <c r="H149" i="9"/>
  <c r="B48" i="9"/>
  <c r="H48" i="9"/>
  <c r="B47" i="9"/>
  <c r="H47" i="9"/>
  <c r="B50" i="9"/>
  <c r="H50" i="9"/>
  <c r="B49" i="9"/>
  <c r="H49" i="9"/>
  <c r="B107" i="9"/>
  <c r="H107" i="9"/>
  <c r="B643" i="9"/>
  <c r="H643" i="9"/>
  <c r="B405" i="9"/>
  <c r="H405" i="9"/>
  <c r="B404" i="9"/>
  <c r="H404" i="9"/>
  <c r="B407" i="9"/>
  <c r="H407" i="9"/>
  <c r="B406" i="9"/>
  <c r="H406" i="9"/>
  <c r="B171" i="9"/>
  <c r="H171" i="9"/>
  <c r="I21" i="2"/>
  <c r="J21" i="2"/>
  <c r="I22" i="2"/>
  <c r="J22" i="2"/>
  <c r="B169" i="9"/>
  <c r="B626" i="9"/>
  <c r="B584" i="9"/>
  <c r="B168" i="9"/>
  <c r="H168" i="9"/>
  <c r="H169" i="9"/>
  <c r="H626" i="9"/>
  <c r="H584" i="9"/>
  <c r="C8" i="2" l="1"/>
  <c r="C12" i="2"/>
  <c r="C11" i="2"/>
  <c r="C13" i="2"/>
</calcChain>
</file>

<file path=xl/sharedStrings.xml><?xml version="1.0" encoding="utf-8"?>
<sst xmlns="http://schemas.openxmlformats.org/spreadsheetml/2006/main" count="702" uniqueCount="679">
  <si>
    <t>Producto</t>
  </si>
  <si>
    <t>Precio Compra</t>
  </si>
  <si>
    <t>Precio Venta</t>
  </si>
  <si>
    <t>Entrada</t>
  </si>
  <si>
    <t>Salidas</t>
  </si>
  <si>
    <t>Stock</t>
  </si>
  <si>
    <t>Fecha</t>
  </si>
  <si>
    <t>Cantidad</t>
  </si>
  <si>
    <t>Sub Total</t>
  </si>
  <si>
    <t>Observaciones</t>
  </si>
  <si>
    <t>pega</t>
  </si>
  <si>
    <t>cemento</t>
  </si>
  <si>
    <t>Movimiento</t>
  </si>
  <si>
    <t>movimientos</t>
  </si>
  <si>
    <t>Compras</t>
  </si>
  <si>
    <t>Ventas</t>
  </si>
  <si>
    <t>Productos</t>
  </si>
  <si>
    <t>Total Compra</t>
  </si>
  <si>
    <t>Total Venta</t>
  </si>
  <si>
    <t>Codigo</t>
  </si>
  <si>
    <t>Prod-0007</t>
  </si>
  <si>
    <t>Produto</t>
  </si>
  <si>
    <t>khgf</t>
  </si>
  <si>
    <t xml:space="preserve">Total Compras </t>
  </si>
  <si>
    <t>Prod-0009</t>
  </si>
  <si>
    <t>kjh</t>
  </si>
  <si>
    <t>Unión 1/2 Plastigama</t>
  </si>
  <si>
    <t>Tee 1/2 Plastigama</t>
  </si>
  <si>
    <t>Codo Cachimba 1/2 Platigama</t>
  </si>
  <si>
    <t>Neplo 1/2x6 Plastigama</t>
  </si>
  <si>
    <t>Neplo 1/2x8 Plastigama</t>
  </si>
  <si>
    <t>Neplo 1/2x10 Plastigama</t>
  </si>
  <si>
    <t>Neplo 1/2x15 Plastigama</t>
  </si>
  <si>
    <t>Bushin 3/4 a 1/2 Plastigama</t>
  </si>
  <si>
    <t>Blancola 1kg</t>
  </si>
  <si>
    <t>Blancola 250g</t>
  </si>
  <si>
    <t>Bioplast 1kg</t>
  </si>
  <si>
    <t>Bioplast 250g</t>
  </si>
  <si>
    <t>Cemento Africano 1ltr</t>
  </si>
  <si>
    <t>Cemento Africano 0,16  ltr</t>
  </si>
  <si>
    <t>Llama roja 0,16 ltr</t>
  </si>
  <si>
    <t>PegaLoc 250cm^3</t>
  </si>
  <si>
    <t>PegaLoc 125cm^3</t>
  </si>
  <si>
    <t>Kalipega 946cc</t>
  </si>
  <si>
    <t>Kalipega 250cc</t>
  </si>
  <si>
    <t>Codo 3/4x90 Plastigama</t>
  </si>
  <si>
    <t>Kalipega 125cc</t>
  </si>
  <si>
    <t>Cementeo Anaranjado 118ml</t>
  </si>
  <si>
    <t>Universal 3/4 Plastigama</t>
  </si>
  <si>
    <t>Universal 1/2 Plastigama</t>
  </si>
  <si>
    <t>Pega Tubo PVC 1ltr</t>
  </si>
  <si>
    <t>Tee 3/4 Platigama</t>
  </si>
  <si>
    <t>Codo 1/2x45 Plastigama</t>
  </si>
  <si>
    <t>Codo 1/2x90 Plastigama</t>
  </si>
  <si>
    <t>Pega Tubo PVC pequeño</t>
  </si>
  <si>
    <t>Kalipega 20cc</t>
  </si>
  <si>
    <t xml:space="preserve">Union 3/4 Plastigama </t>
  </si>
  <si>
    <t>Reducción 3/4 a 1/2 Plastigama</t>
  </si>
  <si>
    <t>Reducción 1" a 3/4 Plastigama</t>
  </si>
  <si>
    <t>Neplo 1/2 corrido Plastigama</t>
  </si>
  <si>
    <t>Codo Cachimba 3/4 Plastigama</t>
  </si>
  <si>
    <t>Neplo 3/4 corrido Plastigama</t>
  </si>
  <si>
    <t>WD-40 382ml</t>
  </si>
  <si>
    <t>WD-40 191ml</t>
  </si>
  <si>
    <t>Neplo 3/4x6 Plastigama</t>
  </si>
  <si>
    <t>WD-40 103ml</t>
  </si>
  <si>
    <t>3-EN-UNO 90ml</t>
  </si>
  <si>
    <t>Corta Vidrio BOJO</t>
  </si>
  <si>
    <t>Legia Sello Rojo 500ml gel</t>
  </si>
  <si>
    <t>Legia Sello Rojo 375g escamas</t>
  </si>
  <si>
    <t>Tapón 3/4 macho Plastigama</t>
  </si>
  <si>
    <t>Tapón Macho 1/2 Plastigama</t>
  </si>
  <si>
    <t>Tapón Hembra 1/2 Plastigama</t>
  </si>
  <si>
    <t>Codo 1"x90 Plastigama</t>
  </si>
  <si>
    <t>Tapón Hembra 3/4 Plastigma</t>
  </si>
  <si>
    <t>Bushin 1/2 a 1" Plastigama</t>
  </si>
  <si>
    <t>Neplo 1"x6 Plastigama</t>
  </si>
  <si>
    <t>Unión 1" Plastigama</t>
  </si>
  <si>
    <t>Pix Disma 360ml</t>
  </si>
  <si>
    <t xml:space="preserve">Universal 1" Plastigama </t>
  </si>
  <si>
    <t>Plastico de embalage 12cm</t>
  </si>
  <si>
    <t>Alumband 10mx20cm</t>
  </si>
  <si>
    <t>Alumband 5mx10cm</t>
  </si>
  <si>
    <t>Alumband 10mx10cm</t>
  </si>
  <si>
    <t>Alumband 10cmx1m</t>
  </si>
  <si>
    <t>Cinta Peligro 75mmx200m</t>
  </si>
  <si>
    <t>Codo 1/2x45 IPS</t>
  </si>
  <si>
    <t>Silicon Blanco ABRO 1200</t>
  </si>
  <si>
    <t>Silicon Negro ABRO 1200</t>
  </si>
  <si>
    <t>Silicon Transparente ABRO 1200</t>
  </si>
  <si>
    <t xml:space="preserve">Unión 1/2 </t>
  </si>
  <si>
    <t>Silicon Sika Sika Seal 280ml</t>
  </si>
  <si>
    <t>Sika Anchorfix -1 300ml</t>
  </si>
  <si>
    <t>Unión Drees 1/2</t>
  </si>
  <si>
    <t>Bushin 1" a 3/4 Plastigama</t>
  </si>
  <si>
    <t>Bushin 1" a 3/4 IPS</t>
  </si>
  <si>
    <t>Unión 1/2 IPS</t>
  </si>
  <si>
    <t>Bushin 1/2 a 3/4 IPS</t>
  </si>
  <si>
    <t>Tapón 1/2 Macho IPS</t>
  </si>
  <si>
    <t>Neplo 1/2 corrido IPS</t>
  </si>
  <si>
    <t>Unión Puente 1/2</t>
  </si>
  <si>
    <t>Silicon ABRO 1000 Transparente</t>
  </si>
  <si>
    <t>Silicon ABRO GREY 999</t>
  </si>
  <si>
    <t>Unión 3/4 IPS</t>
  </si>
  <si>
    <t>Codo 1/2 Roscable Blanco</t>
  </si>
  <si>
    <t xml:space="preserve">Tee 1/2 Pegable </t>
  </si>
  <si>
    <t xml:space="preserve">Universal 1/2 Pegable </t>
  </si>
  <si>
    <t>Codo 1/2 Pegable Mixto</t>
  </si>
  <si>
    <t>Tee 1/2 Pegable Mixto</t>
  </si>
  <si>
    <t>Codo 1/2 Tres Usos</t>
  </si>
  <si>
    <t xml:space="preserve">Tapón Hemabra 1/2 Pegable </t>
  </si>
  <si>
    <t>Union 1/2 Mixto Hembra</t>
  </si>
  <si>
    <t>Unión 1/2 Mixto Macho</t>
  </si>
  <si>
    <t xml:space="preserve">Unión 1/2 Pegable </t>
  </si>
  <si>
    <t xml:space="preserve">Codo 1/2 Pegable </t>
  </si>
  <si>
    <t>Unión Manguera 1/2 Plastigama</t>
  </si>
  <si>
    <t xml:space="preserve">Unión Manguera 1/2 </t>
  </si>
  <si>
    <t>Codo Manguera 1/2</t>
  </si>
  <si>
    <t>Unión Manguera a Tubo 1/2 Plast</t>
  </si>
  <si>
    <t>Unión Manguera 1/2 a 3/4 Plasti</t>
  </si>
  <si>
    <t>Unión Manguera a Tubo 3/4</t>
  </si>
  <si>
    <t>Yee Manguera 1/2</t>
  </si>
  <si>
    <t>Unión Manguera 1/8</t>
  </si>
  <si>
    <t>Tee Manguera 1/2</t>
  </si>
  <si>
    <t>Tee Manguera 3/4</t>
  </si>
  <si>
    <t>Tubo Lavanderia</t>
  </si>
  <si>
    <t>E269.01 DH CR Llave angular metalica</t>
  </si>
  <si>
    <t>SG007500 306 1CE llave sencilla lavamanos</t>
  </si>
  <si>
    <t>SG005904 306 1BO llave sencilla lavamanos</t>
  </si>
  <si>
    <t>SG007505 306 1CE llave campanola ducha</t>
  </si>
  <si>
    <t>SG007402 306 1BO llave sencilla ABS lavamanos</t>
  </si>
  <si>
    <t xml:space="preserve">SG009002 306 1BO llave sencilla lavamanos </t>
  </si>
  <si>
    <t>C2230/71 CR llave para lavabo</t>
  </si>
  <si>
    <t xml:space="preserve">E220.01/71 CR llave para lavabo </t>
  </si>
  <si>
    <t xml:space="preserve">E220.01/29 CR llave para lavabo </t>
  </si>
  <si>
    <t>E499.13 BR valvula check 1/2</t>
  </si>
  <si>
    <t>125434 Unión hembra para manguera</t>
  </si>
  <si>
    <t>Spray EVANS celeste SE19</t>
  </si>
  <si>
    <t>Spary EVANS Negro Mate SE4</t>
  </si>
  <si>
    <t>Spray EVANS Oro18k SE18K</t>
  </si>
  <si>
    <t>Spray EVANS Blanco Brillante SE40</t>
  </si>
  <si>
    <t>Spray EVANS Azul Español SE219</t>
  </si>
  <si>
    <t>Spray EVANS Blanco Mate SE1007</t>
  </si>
  <si>
    <t>Spray EVANS Dorado SE35</t>
  </si>
  <si>
    <t>Spray EVANS Amarillo Taxi SEC349</t>
  </si>
  <si>
    <t xml:space="preserve">Spray EVANS Verde Fresco SE37 </t>
  </si>
  <si>
    <t>Spray EVANS Caoba SE29</t>
  </si>
  <si>
    <t>Spray EVANS Café SE8028</t>
  </si>
  <si>
    <t>Spray EVANS Negro Brillante SE39</t>
  </si>
  <si>
    <t>Super Bonder 3g</t>
  </si>
  <si>
    <t>Masilla Epoxyca ABRO 57g</t>
  </si>
  <si>
    <t>La Durita 3g</t>
  </si>
  <si>
    <t>Sellador IPS 25cm^3</t>
  </si>
  <si>
    <t>Sellador IPS 50cm^3</t>
  </si>
  <si>
    <t>Silicon Abro RTV 85g</t>
  </si>
  <si>
    <t>Cinta Doble faz ABRO 18mmx2mx1mm</t>
  </si>
  <si>
    <t xml:space="preserve">Gafas de Protección Negras </t>
  </si>
  <si>
    <t>Guantes Mater C25 Talla 8</t>
  </si>
  <si>
    <t>Guantes Master C25 Talla 9</t>
  </si>
  <si>
    <t>Guantes Estrella C25 Talla 8 1/2</t>
  </si>
  <si>
    <t>Guantes Master C25 Talla 8 1/2</t>
  </si>
  <si>
    <t>Guates Celleri C35 Talla 7 1/2</t>
  </si>
  <si>
    <t>E420.01/13 CR llave de pared cocina</t>
  </si>
  <si>
    <t>E420.03/71 CR llave de pared pico alto cocina</t>
  </si>
  <si>
    <t xml:space="preserve">Lave para meson de cocina </t>
  </si>
  <si>
    <t>Llave Pegable 1/2</t>
  </si>
  <si>
    <t>Brocha Elite 1 1/2</t>
  </si>
  <si>
    <t>Brocha Elite 2"</t>
  </si>
  <si>
    <t>Brocha Wilson 2"</t>
  </si>
  <si>
    <t>Brocha Wilson 1 1/2</t>
  </si>
  <si>
    <t>Brocha Comando 3/4</t>
  </si>
  <si>
    <t>Brocha Comando 1/2</t>
  </si>
  <si>
    <t>Brocha Wilson 3"</t>
  </si>
  <si>
    <t>Brocha Comando 3"</t>
  </si>
  <si>
    <t>Brocha JEM 1"</t>
  </si>
  <si>
    <t>Brocha JEM 4"</t>
  </si>
  <si>
    <t>Brocha Comando 5"</t>
  </si>
  <si>
    <t>Espatula Comando 2"</t>
  </si>
  <si>
    <t>Espatula Comando 2 1/2</t>
  </si>
  <si>
    <t>Espatula Comando 1 1/2</t>
  </si>
  <si>
    <t>Espatula Comando 3"</t>
  </si>
  <si>
    <t>Espatula Comando 3 1/2</t>
  </si>
  <si>
    <t>Espatula Inco 3"</t>
  </si>
  <si>
    <t>Espatula Inco 2 1/2</t>
  </si>
  <si>
    <t>Llave para lavabo Bensson</t>
  </si>
  <si>
    <t xml:space="preserve">Piton de Manguera </t>
  </si>
  <si>
    <t>Juego de Unión para Manguera</t>
  </si>
  <si>
    <t>Llave de lavabo SANITARY WARES SI-871</t>
  </si>
  <si>
    <t>Llave de Meson S/M</t>
  </si>
  <si>
    <t xml:space="preserve">E425.05/29 CR llave con pico bar para cocina </t>
  </si>
  <si>
    <t>SG00 5523 306 1BO Mescladora 8" de mesa para cocina</t>
  </si>
  <si>
    <t>SG00 5664 306 1BO Mescladora 8" de pared para cocina</t>
  </si>
  <si>
    <t>Desague Lavamanos Metalico</t>
  </si>
  <si>
    <t xml:space="preserve">Desague Lavamanos Bronce </t>
  </si>
  <si>
    <t>Llave Pesada sin rosca FV</t>
  </si>
  <si>
    <t>E436.04 BR llave de manguera FV</t>
  </si>
  <si>
    <t>Candado SEGURO 40mm</t>
  </si>
  <si>
    <t>Candado SEGURO 50mm</t>
  </si>
  <si>
    <t>Candado SEGURO barril 80mm</t>
  </si>
  <si>
    <t>Candado GLOBE 3/4</t>
  </si>
  <si>
    <t>Candado GLOBE 1"</t>
  </si>
  <si>
    <t>Candado GLOBE 1 1/4</t>
  </si>
  <si>
    <t>Candado GLOBE 1 1/2</t>
  </si>
  <si>
    <t>Candado GLOBE 2"</t>
  </si>
  <si>
    <t>Candado GLOBE 2 1/2</t>
  </si>
  <si>
    <t>Candado ROCKY 38mm</t>
  </si>
  <si>
    <t>Candado BAOLI 1"</t>
  </si>
  <si>
    <t>Candado BARI 30mm</t>
  </si>
  <si>
    <t>Candado VIRO 1 1/4</t>
  </si>
  <si>
    <t>Candado GEMN 1 1/2</t>
  </si>
  <si>
    <t>Candado ROCKY 50mm</t>
  </si>
  <si>
    <t>Candado ROCKY 32mm</t>
  </si>
  <si>
    <t>Martillo Bellota 25mm</t>
  </si>
  <si>
    <t xml:space="preserve">Martillo Bellota 800-2 </t>
  </si>
  <si>
    <t>Combo Bellota 4lb</t>
  </si>
  <si>
    <t>Combo Bellota 2lb</t>
  </si>
  <si>
    <t>Combo Vikingo 2lb</t>
  </si>
  <si>
    <t>Combo GS 5lb</t>
  </si>
  <si>
    <t>Combo Stanford 3lb</t>
  </si>
  <si>
    <t xml:space="preserve">Disco Truper Diamante Segmentado 7" </t>
  </si>
  <si>
    <t>Disco Advance Diamante Continuo 7"</t>
  </si>
  <si>
    <t>Disco Advance Diamante Segmentado 7"</t>
  </si>
  <si>
    <t>Disco Advance Madera 7"</t>
  </si>
  <si>
    <t>Disco Comando Multiuso 7"</t>
  </si>
  <si>
    <t>Disco Comando Diamante Continuo 4"</t>
  </si>
  <si>
    <t>Disco Comando Diamante Segmentado 4"</t>
  </si>
  <si>
    <t>Disco Abracol para corte metal 7"</t>
  </si>
  <si>
    <t>Disco Abracol para corte metal 4"</t>
  </si>
  <si>
    <t>Disco Advance Diamante Continuo 9"</t>
  </si>
  <si>
    <t>Disco Advance Diamante Segmentado 9"</t>
  </si>
  <si>
    <t>Disco SIEA corte piedra 7"</t>
  </si>
  <si>
    <t>Disco SIEA desbaste piedra 7"</t>
  </si>
  <si>
    <t>Disco SIEA corte piedra 4"</t>
  </si>
  <si>
    <t>Disco NORTON corte metal 7"</t>
  </si>
  <si>
    <t>Disco SIEA desbaste para metal 7"</t>
  </si>
  <si>
    <t>Disco SIEA corte metal 4"</t>
  </si>
  <si>
    <t>Formon Comando 3/4</t>
  </si>
  <si>
    <t>Disco Q5B para pulir 7"</t>
  </si>
  <si>
    <t>Formon Comando 1"</t>
  </si>
  <si>
    <t>Formon Century 1 1/4</t>
  </si>
  <si>
    <t>Formon Stanley 1/2</t>
  </si>
  <si>
    <t>Playo Comando 6"</t>
  </si>
  <si>
    <t>Playo Comando 8"</t>
  </si>
  <si>
    <t>Llave Comando Pico de Loro 6"</t>
  </si>
  <si>
    <t>Playo de Presión Comando de 10"</t>
  </si>
  <si>
    <t>Alicate de Presión Vikingo 10"</t>
  </si>
  <si>
    <t>Alicate de Presión Vikingo 7"</t>
  </si>
  <si>
    <t>Playo de Presion Total 7"</t>
  </si>
  <si>
    <t>Flexometro Kioto 5m</t>
  </si>
  <si>
    <t>Flexometro Bellota 5m</t>
  </si>
  <si>
    <t>Flexometro Bellota 3m</t>
  </si>
  <si>
    <t>Puntas</t>
  </si>
  <si>
    <t>Sincel</t>
  </si>
  <si>
    <t>Pilas Evereadi AA</t>
  </si>
  <si>
    <t>Pilas Enegizer AA</t>
  </si>
  <si>
    <t>Pilas Enegizer AAA</t>
  </si>
  <si>
    <t>Pilas Enegizer A23</t>
  </si>
  <si>
    <t>Broca Plana (mecha) 3/4</t>
  </si>
  <si>
    <t>Estilete Chino 18mm</t>
  </si>
  <si>
    <t>Estilete Comando 18mm</t>
  </si>
  <si>
    <t>Broca Plana (mecha) 1/2</t>
  </si>
  <si>
    <t>Broca Plana (mecha) Starcraft 7/8</t>
  </si>
  <si>
    <t>Broca Plana (mecha) Starcraft 1"</t>
  </si>
  <si>
    <t>Timbrador Shengma 50'/15m</t>
  </si>
  <si>
    <t>Juego de Brocas Planas (mechas)</t>
  </si>
  <si>
    <t>Nivel Torpedo ZHEKANG</t>
  </si>
  <si>
    <t>Tijera Tolsen 200mm</t>
  </si>
  <si>
    <t>Tarraja Plastica Comando de 3 dados 1/2 3/4</t>
  </si>
  <si>
    <t>Tarraja Plastica JEM 1/2 3/4</t>
  </si>
  <si>
    <t xml:space="preserve">Teflon Comando Amarillo </t>
  </si>
  <si>
    <t xml:space="preserve">Teflon Comando Verde </t>
  </si>
  <si>
    <t>Teflon Comando Amarillo 3/4</t>
  </si>
  <si>
    <t xml:space="preserve">Juego de llaves Hexagonales Comando </t>
  </si>
  <si>
    <t>Taipe Negro Comando 20yds</t>
  </si>
  <si>
    <t>Taipe Negro Comando 10yds</t>
  </si>
  <si>
    <t>Taipe Amarillo Comando 10yds</t>
  </si>
  <si>
    <t>Taipe Amarillo ABRO 10yds</t>
  </si>
  <si>
    <t>Taipe Rojo Comando 10yds</t>
  </si>
  <si>
    <t>Taipe Verde Comando 10yds</t>
  </si>
  <si>
    <t>Taipe Blanco Comando 10yds</t>
  </si>
  <si>
    <t>Taipe Azul Comando 10yds</t>
  </si>
  <si>
    <t>Cinta de Embalaje ABRO café 80yds</t>
  </si>
  <si>
    <t>Cinta Masking ABRO 40mmmx40yds</t>
  </si>
  <si>
    <t>Cinta Masking ABRO 36mmx40yds</t>
  </si>
  <si>
    <t>Cinta Masking ABRO 24mmx40yds</t>
  </si>
  <si>
    <t>Codo RIVAL 2x90</t>
  </si>
  <si>
    <t>Codo RIVAL 2X45</t>
  </si>
  <si>
    <t>Yee RIVAL 2"</t>
  </si>
  <si>
    <t>Tee RIVAL 2"</t>
  </si>
  <si>
    <t>Sifón RIVAL 2"</t>
  </si>
  <si>
    <t>Sifón Económico 2"</t>
  </si>
  <si>
    <t>Codo RIVAL 3x45</t>
  </si>
  <si>
    <t>Codo RIVAL 3x90</t>
  </si>
  <si>
    <t>Tee RIVAL 3"</t>
  </si>
  <si>
    <t>Sifón RIVAL 3"</t>
  </si>
  <si>
    <t>Sifón Económico 3"</t>
  </si>
  <si>
    <t xml:space="preserve">Tee RIVAL 3 a 2 </t>
  </si>
  <si>
    <t>Yee RIVAL 3 a 2</t>
  </si>
  <si>
    <t>Yee Platigama 3 a 2</t>
  </si>
  <si>
    <t>Codod RIVAL 4x90</t>
  </si>
  <si>
    <t>Codo RIVAL 4x45</t>
  </si>
  <si>
    <t>Tee RIVAL 4"</t>
  </si>
  <si>
    <t>Yee RIVAL 4"</t>
  </si>
  <si>
    <t>Sifón RIVAL 4"</t>
  </si>
  <si>
    <t>Sifón Plastigama 4"</t>
  </si>
  <si>
    <t>Tee Plastigama 4 a 3</t>
  </si>
  <si>
    <t>Tee RIVAL 4 a 3</t>
  </si>
  <si>
    <t>Tee RIVAL 4 a 2</t>
  </si>
  <si>
    <t>Yee RIVAL 4 a 2</t>
  </si>
  <si>
    <t>Yee RIVAL 4 a 3</t>
  </si>
  <si>
    <t>Tapa Hembra RIVAL 4"</t>
  </si>
  <si>
    <t>Tapa Macho RIVALA 4"</t>
  </si>
  <si>
    <t>Tapa Hembra RIVAL 3"</t>
  </si>
  <si>
    <t>Tapa Macho RIVAL 3"</t>
  </si>
  <si>
    <t>Tapa Hembra RIVAL 2"</t>
  </si>
  <si>
    <t>Tapa Macho RIVAL 2"</t>
  </si>
  <si>
    <t>Unión RIVAL 3"</t>
  </si>
  <si>
    <t>Unión Plastigama 3"</t>
  </si>
  <si>
    <t>Unión RIVAL 2"</t>
  </si>
  <si>
    <t>Unión RIVAL 4"</t>
  </si>
  <si>
    <t xml:space="preserve">Reducción RIVAL 3 a 2 </t>
  </si>
  <si>
    <t>Reducción 4 a 3</t>
  </si>
  <si>
    <t>Reducción Plana RIVAL 6 a 4</t>
  </si>
  <si>
    <t>Reducción Plana RIVAL 4 a 2</t>
  </si>
  <si>
    <t>Codo Plastigama 6x45</t>
  </si>
  <si>
    <t>Codo RIVAL 6x45</t>
  </si>
  <si>
    <t>Codo RIVAL 6x90</t>
  </si>
  <si>
    <t>Yee RIVAL 6 a 4</t>
  </si>
  <si>
    <t>Yee RIVAL 6"</t>
  </si>
  <si>
    <t>Tee Económico de 6a4</t>
  </si>
  <si>
    <t xml:space="preserve">Arco de Sierra Tubular Vikingo </t>
  </si>
  <si>
    <t>Arco de Sierra Tubular Estanley 12"</t>
  </si>
  <si>
    <t xml:space="preserve">Arco de Sierra Tubular Simple </t>
  </si>
  <si>
    <t>Hachuela Multiusos</t>
  </si>
  <si>
    <t>Pistola para Cartucho Silicón Simple</t>
  </si>
  <si>
    <t>Pistola para Cartucho Silicón Truper</t>
  </si>
  <si>
    <t xml:space="preserve">Pistola para Cartucho Silicón Comando </t>
  </si>
  <si>
    <t>Segeta Bellota 24"</t>
  </si>
  <si>
    <t>Rodillo Felpa  Rody's SAA</t>
  </si>
  <si>
    <t xml:space="preserve">Rodillo de Textura EL Campeón </t>
  </si>
  <si>
    <t>Esponja para enlucir</t>
  </si>
  <si>
    <t>Piola Plástica A-4</t>
  </si>
  <si>
    <t>Piola Plástica A-2</t>
  </si>
  <si>
    <t>Piola Plástica A-6</t>
  </si>
  <si>
    <t>Mastikio 0.55x25m</t>
  </si>
  <si>
    <t>Mastiko 0.90x25m</t>
  </si>
  <si>
    <t>Piola Cableada Ponte Selva N°15 135m</t>
  </si>
  <si>
    <t>Piola Cableada Ponte Selva N°15 35m</t>
  </si>
  <si>
    <t>Remachadora HanD Riverter</t>
  </si>
  <si>
    <t xml:space="preserve">Juego de Llaves Torx Comando </t>
  </si>
  <si>
    <t>Poleas 1000kg</t>
  </si>
  <si>
    <t>Aceiteros</t>
  </si>
  <si>
    <t>125813 Sifón YETKA doble para fregadero</t>
  </si>
  <si>
    <t>125802 Sifón YETKA doble multiuso para fregadero</t>
  </si>
  <si>
    <t>E420.03/29 CR Llave de pared para cocina pico alto</t>
  </si>
  <si>
    <t>E2460.02U RA DH BLC Sifón desague 1 1/4 FV</t>
  </si>
  <si>
    <t>Sifón acordeón de desague 1 1/2 Comando</t>
  </si>
  <si>
    <t>Sifón acordeón 1 1/2 Económico</t>
  </si>
  <si>
    <t>Sifón acordeón 1 1/4 Económico</t>
  </si>
  <si>
    <t>125106 Válvula de admición YETKA</t>
  </si>
  <si>
    <t>125206 Válvula de admición premiun YETKA</t>
  </si>
  <si>
    <t>125936 Desague con guia para Sifón YETKA</t>
  </si>
  <si>
    <t>E102.10-DH-VL Herraje Universal FV</t>
  </si>
  <si>
    <t>EHE.1.1 DH-BL Palanaca Universal Para Inodoro FV</t>
  </si>
  <si>
    <t>SP005127 000 1BO Palanca Inodoro Cromada EDESA</t>
  </si>
  <si>
    <t>E201.26.355 (N) DH Uñeta para lavabo FV</t>
  </si>
  <si>
    <t>SP005104 000 1BO Flotador con Varilla EDESA</t>
  </si>
  <si>
    <t>SP005145 000 1BO Flapper con Cadena EDESA</t>
  </si>
  <si>
    <t>EHE.1.15-DH Flapper FV</t>
  </si>
  <si>
    <t>125919 Flapper YETKA</t>
  </si>
  <si>
    <t xml:space="preserve">125503 Rejilla 3" YETKA </t>
  </si>
  <si>
    <t>125.502 Rejilla 2" YETKA</t>
  </si>
  <si>
    <t>125504 Rejilla 4" YETKA</t>
  </si>
  <si>
    <t>R/P 300-1-C Rejilla 2" COMANDO</t>
  </si>
  <si>
    <t>Sifón acordeón 1 1/4 COMANDO</t>
  </si>
  <si>
    <t>Rejilla 3" JHS</t>
  </si>
  <si>
    <t>Rejilla 2" JHS</t>
  </si>
  <si>
    <t>Rejilla Económico de Metal 3"</t>
  </si>
  <si>
    <t>Rejilla Económico de Metal 2"</t>
  </si>
  <si>
    <t>Rejilla Económico de Metal 4"</t>
  </si>
  <si>
    <t>Rejilla Económico Mixto 2"</t>
  </si>
  <si>
    <t>SC007578 306 1BO Llave angular con manguera lavamanos EDESA</t>
  </si>
  <si>
    <t>SC007590 306 1BO Llave angular con manguera Inodoro EDESA</t>
  </si>
  <si>
    <t>E266.02 DH CR Juego llave angular con manguera Inodoro FV</t>
  </si>
  <si>
    <t>SC001658 000 100 Manguera Inodoro EDESA</t>
  </si>
  <si>
    <t>SC001660 000 100 Manguera Lavamanos EDESA</t>
  </si>
  <si>
    <t>Juego Angular para lavabo e Inodoro COMANDO</t>
  </si>
  <si>
    <t>E269.20.0.1 DH Manguera Angular Lavabo FV</t>
  </si>
  <si>
    <t>E275.02.03.0 DH Manguera Directa Inodoro FV</t>
  </si>
  <si>
    <t>E275.02.20.0 DH Manguera Angular Inodoro FV</t>
  </si>
  <si>
    <t>E269.21.40.11 DH Manguera Calefó FV</t>
  </si>
  <si>
    <t>Manguera Lavamanos Directa Plastigama</t>
  </si>
  <si>
    <t>Mezcladora de fregadero para pared VIKINGO</t>
  </si>
  <si>
    <t>Remache GENUINE 1/8 x 1/2 Caja 1000pcs</t>
  </si>
  <si>
    <t>Remache GENUINE 5/32 x 1/2 Caja 1000pcs</t>
  </si>
  <si>
    <t>Remache GENUINE 3/16 x 1/2 Caja 500pcs</t>
  </si>
  <si>
    <t xml:space="preserve">Llana Lisa Bellota </t>
  </si>
  <si>
    <t xml:space="preserve">Llana Lisa COMANDO </t>
  </si>
  <si>
    <t>Llave de Corona STANLEY N°8</t>
  </si>
  <si>
    <t>Llave de Corona DROP N°12</t>
  </si>
  <si>
    <t>Llave de Corona Vikingo N°11</t>
  </si>
  <si>
    <t>Llave de Corona DROP N°9</t>
  </si>
  <si>
    <t>Llave de Corona DROP N°14</t>
  </si>
  <si>
    <t>Llave de Corona DROP N°11</t>
  </si>
  <si>
    <t>Llave de Corona DROP N°10</t>
  </si>
  <si>
    <t>Llave de Corona STANLEY N°10</t>
  </si>
  <si>
    <t>Llave de Corona STANLEY N°12</t>
  </si>
  <si>
    <t>Llave de Corona STANLEY N°9</t>
  </si>
  <si>
    <t>Llave de Corona STANLEY N°14</t>
  </si>
  <si>
    <t xml:space="preserve">Paleta de Esponja </t>
  </si>
  <si>
    <t>Paleta de Esponja lisa</t>
  </si>
  <si>
    <t>Machete VIKINGO</t>
  </si>
  <si>
    <t>Machete BELLOTA Pequeño</t>
  </si>
  <si>
    <t>Machete BELLOTA Grande</t>
  </si>
  <si>
    <t xml:space="preserve">Serrucho COMANDO </t>
  </si>
  <si>
    <t>Gafas de Protección Transparente ABRO</t>
  </si>
  <si>
    <t>Extensión de Lavabo</t>
  </si>
  <si>
    <t>Rejilla Plástica de Ventilación 3"</t>
  </si>
  <si>
    <t>Rejilla Plástica de Ventilación 4"</t>
  </si>
  <si>
    <t>Rejilla Plástica de Ventilación 2"</t>
  </si>
  <si>
    <t xml:space="preserve">Rejilla Plástica con Unión </t>
  </si>
  <si>
    <t>Tapa Metalica para Rejilla 4"</t>
  </si>
  <si>
    <t>Tapa Metalica para Rejilla 6"</t>
  </si>
  <si>
    <t>Tapa Metalica para Rejilla 2"</t>
  </si>
  <si>
    <t>Tapa Metalica para Rejilla 3"</t>
  </si>
  <si>
    <t>Manguera para Lavadora Coflex</t>
  </si>
  <si>
    <t>Cajetin Octogonal Plástico</t>
  </si>
  <si>
    <t>Cajetin Octogonal Metalico</t>
  </si>
  <si>
    <t xml:space="preserve">Cajetin 10x10 Metalico </t>
  </si>
  <si>
    <t>Cajetin Rectangular Metalico</t>
  </si>
  <si>
    <t>Cajetin Rectangular Plástico</t>
  </si>
  <si>
    <t xml:space="preserve">Flajon de Porcelana </t>
  </si>
  <si>
    <t>Caja de Paso 15x15</t>
  </si>
  <si>
    <t>Caja de Paso 20x20</t>
  </si>
  <si>
    <t xml:space="preserve">Caja Térmica 6 Puntos COMANDO </t>
  </si>
  <si>
    <t>Caja Térmica 8 Puntos Schneider</t>
  </si>
  <si>
    <t>Caja Térmica 4 Puntos Schneider</t>
  </si>
  <si>
    <t>Caja Térmica 6 Puntos Schneider</t>
  </si>
  <si>
    <t>Caja Térmica 2 Puntos Schneider</t>
  </si>
  <si>
    <t>Caja Térmica 1 Punto Schenider</t>
  </si>
  <si>
    <t>Canaleta PVC 20x10</t>
  </si>
  <si>
    <t>Lustre #4 Don Brillo</t>
  </si>
  <si>
    <t xml:space="preserve">Tarraja COMANDO </t>
  </si>
  <si>
    <t>Copa para Taladro 7/16 (Tirafondo)</t>
  </si>
  <si>
    <t>Copa para Taladro 5/16 (Autoperforante)</t>
  </si>
  <si>
    <t>125.218 Válvula de Entrada YETKA</t>
  </si>
  <si>
    <t>Juego de Sierra con Copa RHINO</t>
  </si>
  <si>
    <t>Hoja de Segueta #24 BELLOTA</t>
  </si>
  <si>
    <t xml:space="preserve">607-A/BET Cerradura Dormitorio CESA </t>
  </si>
  <si>
    <t xml:space="preserve">56TA/BET Cerradura Dormitorio NOVA </t>
  </si>
  <si>
    <t>607-S/SET Cerradura Dormitorio CESA</t>
  </si>
  <si>
    <t>808-A/BET Cerradura Dormitorio CESA</t>
  </si>
  <si>
    <t>Cerradura para Puerta Metalica FORTE</t>
  </si>
  <si>
    <t>PLA35314 Jack Teléfono + Coaxial VETO</t>
  </si>
  <si>
    <t>SKU:300315 Jack Teléfono + Coaxial Weggo</t>
  </si>
  <si>
    <t>PLA35109 Interruptor Simple VETO Plata</t>
  </si>
  <si>
    <t>PLA35208 Conmutador Simple VETO Plata</t>
  </si>
  <si>
    <t xml:space="preserve">PLA35598 Interruptor Mixto + Toma Corriente VETO Plata </t>
  </si>
  <si>
    <t>PLA35123 Interruptor Doble VETO Plata</t>
  </si>
  <si>
    <t>SKU:300301 Interruptor + Toma Corriente Weggo</t>
  </si>
  <si>
    <t>PLA35482 Placa Ciega VETO Plata</t>
  </si>
  <si>
    <t>Boquilla Simple Negra Klik</t>
  </si>
  <si>
    <t>Boquilla Simple Blanca Klik</t>
  </si>
  <si>
    <t>Adaptador Euro-Americano EAGLE Blanco</t>
  </si>
  <si>
    <t>Adaptador Euro-Americano EAGLE Negro</t>
  </si>
  <si>
    <t>SKU:305024 Enchufe Plano</t>
  </si>
  <si>
    <t>Interruptor Simple Sobre Puesto ANDRETTI</t>
  </si>
  <si>
    <t xml:space="preserve">PBP29 Enchufe PROW </t>
  </si>
  <si>
    <t>Toma Corriente para Cajetin</t>
  </si>
  <si>
    <t xml:space="preserve">Tapa para Cajetin Beige </t>
  </si>
  <si>
    <t>Tapa para Cajetin Crema</t>
  </si>
  <si>
    <t>Tapa Ciega Blanco</t>
  </si>
  <si>
    <t>Benjamin Blanco</t>
  </si>
  <si>
    <t xml:space="preserve">Enchufe Económico Negro </t>
  </si>
  <si>
    <t>PBS-5 Toma Corriente Sobre Puesto</t>
  </si>
  <si>
    <t>Adaptador de Enchufe 3 a 2 patas Tomate</t>
  </si>
  <si>
    <t>Adaptador de Enchufe 3 a 2 patas Gris</t>
  </si>
  <si>
    <t>Adaptador Euro-Americano Simple Negro</t>
  </si>
  <si>
    <t>Interruptor Económico Simple</t>
  </si>
  <si>
    <t xml:space="preserve">Cable para Comprobar Corriente </t>
  </si>
  <si>
    <t xml:space="preserve">Comprobador de Corriente </t>
  </si>
  <si>
    <t>Adaptador Euro-Americano Simple Blanco</t>
  </si>
  <si>
    <t>Tapa para Toma Corriente 220 COOPER</t>
  </si>
  <si>
    <t>Cinta Métrica Económico 20m</t>
  </si>
  <si>
    <t>Cinta Métrica Económico 30m</t>
  </si>
  <si>
    <t>Toma Corriente para Extension Simple COOPER</t>
  </si>
  <si>
    <t xml:space="preserve">Estaño para Soldar </t>
  </si>
  <si>
    <t xml:space="preserve">Guante de Cuero Bicolor </t>
  </si>
  <si>
    <t xml:space="preserve">Guante de Cuero Plomo </t>
  </si>
  <si>
    <t xml:space="preserve">Delantal para Soldar </t>
  </si>
  <si>
    <t>Guante de Pupo Simple</t>
  </si>
  <si>
    <t>Chaleco Reflectivo Tomate</t>
  </si>
  <si>
    <t xml:space="preserve">Chaleco Reflectivo Verde </t>
  </si>
  <si>
    <t>Guante de Nitrilo COMANDO</t>
  </si>
  <si>
    <t>Tubo RIVAL 6" Desague</t>
  </si>
  <si>
    <t>Tubo RIVAL 4" Desague</t>
  </si>
  <si>
    <t>Tubo RIVAL 3" Desague</t>
  </si>
  <si>
    <t>Tubo RIVAL 2" Desague</t>
  </si>
  <si>
    <t>Tubo RIVAL 6" Ventilación</t>
  </si>
  <si>
    <t>Tubo RIVAL 4" Ventilación</t>
  </si>
  <si>
    <t>Tubo RIVAL 3" Ventilación</t>
  </si>
  <si>
    <t>Tubo RIVAL 2" Ventilación</t>
  </si>
  <si>
    <t>Ducha 110 BOCCHERINI</t>
  </si>
  <si>
    <t>Ducha 110 Relax Automatica</t>
  </si>
  <si>
    <t>Espesante 1lb</t>
  </si>
  <si>
    <t>Espesante 1/2lb</t>
  </si>
  <si>
    <t xml:space="preserve">Groutex Fino Beige </t>
  </si>
  <si>
    <t>Groutex Fino Café Obscuro</t>
  </si>
  <si>
    <t xml:space="preserve">Groutex Fino Arena </t>
  </si>
  <si>
    <t xml:space="preserve">Groutex Fino Canela </t>
  </si>
  <si>
    <t>Groutex Fino Blanco Extremo</t>
  </si>
  <si>
    <t>Grotex Fino Caramelo</t>
  </si>
  <si>
    <t>Groutex Fino Almendra</t>
  </si>
  <si>
    <t xml:space="preserve">Groutex Fino Blanco </t>
  </si>
  <si>
    <t>Groutex Fino Blanco Antiguo</t>
  </si>
  <si>
    <t xml:space="preserve">Groutex Fino Negro Intenso </t>
  </si>
  <si>
    <t>Groutex Fino Sahara</t>
  </si>
  <si>
    <t>Grotex Fino Capuchino</t>
  </si>
  <si>
    <t xml:space="preserve">Groutex Fino Avellana </t>
  </si>
  <si>
    <t>Cuarzo 0.6kg</t>
  </si>
  <si>
    <t>Funda de Yeso 4lb</t>
  </si>
  <si>
    <t>Funda de Yeso 2lb</t>
  </si>
  <si>
    <t>Funda de Yeso 1lb</t>
  </si>
  <si>
    <t>Funda de Yeso 3lb</t>
  </si>
  <si>
    <t>Rejilla Plástica de Ventilación 6"</t>
  </si>
  <si>
    <t xml:space="preserve">Lima Triangular Bellota </t>
  </si>
  <si>
    <t>Lima Redonda Bellota</t>
  </si>
  <si>
    <t>Lija FANDELI de Metal #36</t>
  </si>
  <si>
    <t>Lija FANDELI de Metal #60</t>
  </si>
  <si>
    <t>Lija FANDELI de Metal #100</t>
  </si>
  <si>
    <t>Lija FANDELI de Agua #100</t>
  </si>
  <si>
    <t>Lija FANDELI de Agua #280</t>
  </si>
  <si>
    <t>Lija FANDELI de Agua #400</t>
  </si>
  <si>
    <t>Lija FANDELI  de Agua #360</t>
  </si>
  <si>
    <t>Lija FANDELI de Agua #240</t>
  </si>
  <si>
    <t>Escuadra COMANDO con Nivel 30cm</t>
  </si>
  <si>
    <t>Escuadra Económico 30cm</t>
  </si>
  <si>
    <t xml:space="preserve">Paleta de Mdera </t>
  </si>
  <si>
    <t>Azadón BELLOTA 3 1/2lb</t>
  </si>
  <si>
    <t>Zapapico BELLOTA 4 1/2lb</t>
  </si>
  <si>
    <t xml:space="preserve">Azuela BELLOTA </t>
  </si>
  <si>
    <t xml:space="preserve">Rastrillo de Varilla </t>
  </si>
  <si>
    <t xml:space="preserve">Tijera para Tubo Plastigama </t>
  </si>
  <si>
    <t>Pistola de Aire JEM</t>
  </si>
  <si>
    <t>Juego de Puntas con Destornillador Q5B</t>
  </si>
  <si>
    <t xml:space="preserve">Palas de Basura </t>
  </si>
  <si>
    <t>Llave para Moladora Fengshi TOOLS</t>
  </si>
  <si>
    <t>Destapador de Cañerias</t>
  </si>
  <si>
    <t>Llave de Corono Stanley #16</t>
  </si>
  <si>
    <t>Extensión Eléctrica Advance 10m</t>
  </si>
  <si>
    <t>Extensión Eléctrica Advance 3m</t>
  </si>
  <si>
    <t>Extensión Eléctrica Advace 5m</t>
  </si>
  <si>
    <t>Extensión Eléctrica COMANDO 7m</t>
  </si>
  <si>
    <t>Corta Pico COMANDO 6 Entradas</t>
  </si>
  <si>
    <t>Corta Pico COMANDO 4 Entradas</t>
  </si>
  <si>
    <t>Plomada</t>
  </si>
  <si>
    <t xml:space="preserve">Cepillo de Acero </t>
  </si>
  <si>
    <t>Lija FANDELI de Agua #120</t>
  </si>
  <si>
    <t>Lija FANDELI de Agua #150</t>
  </si>
  <si>
    <t>Lija FANDELI de Agua #220</t>
  </si>
  <si>
    <t xml:space="preserve">Lija FANDELI de Agua #180 </t>
  </si>
  <si>
    <t>Extensión Eléctrica COMANDO 5m</t>
  </si>
  <si>
    <t>Breaker para duha COMANDO 40A</t>
  </si>
  <si>
    <t>Breaker para ducha COMANDO 50A</t>
  </si>
  <si>
    <t>Breaker DM MOLLER ELECTRIC 50A</t>
  </si>
  <si>
    <t>Enchufe JEM 220</t>
  </si>
  <si>
    <t>Timbre MELODY SOUNDER</t>
  </si>
  <si>
    <t>Calibrador digital MEASURING 6"</t>
  </si>
  <si>
    <t>Pistola de gravedad PORTEN</t>
  </si>
  <si>
    <t>Portaelectrodos tipo aleman JEM 500A</t>
  </si>
  <si>
    <t>Pinza para suelda 500A</t>
  </si>
  <si>
    <t>Tapa ciega plastica circular</t>
  </si>
  <si>
    <t>Tapa ciega plastica rectangular</t>
  </si>
  <si>
    <t>Alicate STANLEY 8"</t>
  </si>
  <si>
    <t>Llave de pico STANLEY 10"</t>
  </si>
  <si>
    <t>Tapa ciega metalica 10x10"</t>
  </si>
  <si>
    <t>Pie de amigo 5x6"</t>
  </si>
  <si>
    <t>Pie de amigo 10x12"</t>
  </si>
  <si>
    <t>Pie de amigo 4x5"</t>
  </si>
  <si>
    <t>Pie de amigo 8x10"</t>
  </si>
  <si>
    <t xml:space="preserve">Hoz </t>
  </si>
  <si>
    <t>Ganchos para Amacas</t>
  </si>
  <si>
    <t>Eje para Carretilla</t>
  </si>
  <si>
    <t>Destornillador Estrella COMANDO 3x100"</t>
  </si>
  <si>
    <t>Destornillador Estrella COMANDO 3x150"</t>
  </si>
  <si>
    <t>Destornillador Estrella COMANDO 5x100"</t>
  </si>
  <si>
    <t>Destornillador Estrella COMANDO 6x150"</t>
  </si>
  <si>
    <t>Destornillador Estrella COMANDO 3x125"</t>
  </si>
  <si>
    <t>Destornillador Estrella COMANDO 5x125"</t>
  </si>
  <si>
    <t>Destornillador Estrella COMANDO 6x125"</t>
  </si>
  <si>
    <t>Destornillador Estrella COMANDO 6x100"</t>
  </si>
  <si>
    <t>Destornillador Estrella COMANDO 5x150"</t>
  </si>
  <si>
    <t>Destornillador Plano COMANO 3x100"</t>
  </si>
  <si>
    <t>Destornillador Plano COMANO 5x150"</t>
  </si>
  <si>
    <t>Destornillador Plano COMANO 6x100"</t>
  </si>
  <si>
    <t>Destornillador Plano COMANO 3x125"</t>
  </si>
  <si>
    <t>Destornillador Plano COMANO 3x150"</t>
  </si>
  <si>
    <t>Destornillador Plano COMANO 5x125"</t>
  </si>
  <si>
    <t>Destornillador Plano COMANO 5x100"</t>
  </si>
  <si>
    <t>Destornillador Plano COMANO 6x150"</t>
  </si>
  <si>
    <t>Destornillador Plano COMANO 6x125"</t>
  </si>
  <si>
    <t>Destornillador Plano CENTURY 6X38"</t>
  </si>
  <si>
    <t>Breaker Sobrepuesto SQUARE 40A</t>
  </si>
  <si>
    <t>Breaker Sobrepuesto SQUARE 30A</t>
  </si>
  <si>
    <t>Juego de racha con destornillador pequeño JINFEG</t>
  </si>
  <si>
    <t xml:space="preserve">Juego de destornillador </t>
  </si>
  <si>
    <t>Juego de refacciones de pistola para pintar TRUPER</t>
  </si>
  <si>
    <t>Picaporte HERMEX 2"</t>
  </si>
  <si>
    <t>Picaporte HERMEX 3"</t>
  </si>
  <si>
    <t>Picaporte HERMEX 4"</t>
  </si>
  <si>
    <t>Alarma de gas COMANDO</t>
  </si>
  <si>
    <t>Espatulas platica VIKINGO</t>
  </si>
  <si>
    <t>Toma Corriente 220 COOPER</t>
  </si>
  <si>
    <t>Toma Corriente 6 salidas</t>
  </si>
  <si>
    <t>Juego de brocas KRAFT</t>
  </si>
  <si>
    <t>Broca de hierro 1/3 GERMANY</t>
  </si>
  <si>
    <t>Broca de acero 1/2 VIKINGO</t>
  </si>
  <si>
    <t>Broca de acero 5/16 VIKINGO</t>
  </si>
  <si>
    <t>Broca de hierro 5/32 GERMANY</t>
  </si>
  <si>
    <t>Broca de titanium 5/32 GERMANY para metal</t>
  </si>
  <si>
    <t>Broca de hierro 3/16 GERMANY</t>
  </si>
  <si>
    <t>Broca de hierro 5/16 GERMANY</t>
  </si>
  <si>
    <t>Broca para concreto 1/4 VIKINGO</t>
  </si>
  <si>
    <t>Broca de acero 1/16 VIKINGO</t>
  </si>
  <si>
    <t>Broca de titanium para metal 1/16 GERMANY</t>
  </si>
  <si>
    <t>Broca de titanium para metal 3/32 GERMANY</t>
  </si>
  <si>
    <t>Broca para metal 1/4 TRUPER</t>
  </si>
  <si>
    <t>Broca para concreto 10 mm UNIC</t>
  </si>
  <si>
    <t>Broca de titanium para metal 5710 JEM</t>
  </si>
  <si>
    <t>Broca para concreto 1/4 GERMANY</t>
  </si>
  <si>
    <t>Broca para concreto 1/8 VIKINGO</t>
  </si>
  <si>
    <t xml:space="preserve">Broca para hierro 13/8 TUREK </t>
  </si>
  <si>
    <t>Broca de titanium para metal 1/2 RHIN</t>
  </si>
  <si>
    <t>Broca de titanium para metal 3/8 HSS</t>
  </si>
  <si>
    <t>Broca para concreto 1/4 RHIN</t>
  </si>
  <si>
    <t>Broca para concreto 3x8 RHIN</t>
  </si>
  <si>
    <t>broca para concreto 1/4 RHIN</t>
  </si>
  <si>
    <t>Broca para concreto 5/32 RHIN</t>
  </si>
  <si>
    <t>Broca para acero 3/16 RHIN</t>
  </si>
  <si>
    <t>Broca de hierro 1/8 GERMANY</t>
  </si>
  <si>
    <t>Broca para concreto de 1/4 RHIN</t>
  </si>
  <si>
    <t>Broca para concreto 3/8 TUREK</t>
  </si>
  <si>
    <t>Broca de titanium para metal 3/16 JEM</t>
  </si>
  <si>
    <t>Bailejo Bellota 8"</t>
  </si>
  <si>
    <t>Bailejo Bellota 10"</t>
  </si>
  <si>
    <t>Bailejo Bellota 8 1/2</t>
  </si>
  <si>
    <t>Prensa VIKINGO 10"</t>
  </si>
  <si>
    <t>Tarraja para baldosa 10x5</t>
  </si>
  <si>
    <t>Casco Halley amarillo</t>
  </si>
  <si>
    <t>Casco Halley azul</t>
  </si>
  <si>
    <t>Casco de Seguridad amarillo</t>
  </si>
  <si>
    <t>Juego de jardin 3pcs</t>
  </si>
  <si>
    <t>Grapa plastica con clavo 10mm COMANDO</t>
  </si>
  <si>
    <t>Grapa plastica con clavo 8mm COMANDO</t>
  </si>
  <si>
    <t>Capuchones</t>
  </si>
  <si>
    <t>Caucho de fregadero 1-1/2</t>
  </si>
  <si>
    <t>Caucho de lavamanos 1-1/4</t>
  </si>
  <si>
    <t xml:space="preserve">Empaque de tanque de inodoro </t>
  </si>
  <si>
    <t xml:space="preserve">Empaque para llave </t>
  </si>
  <si>
    <t>Cruceta para baldosa  funda 100u</t>
  </si>
  <si>
    <t>E262.05 DH CR Llave angular con manguera para lavabo</t>
  </si>
  <si>
    <t>Lustre #6</t>
  </si>
  <si>
    <t>Lustre #8</t>
  </si>
  <si>
    <t>Tubo 1/2 agua fria Plastigama</t>
  </si>
  <si>
    <t>Tubo 1/2 agua caliente Plastigama</t>
  </si>
  <si>
    <t>11+25</t>
  </si>
  <si>
    <t>Yee 3" RIVAL</t>
  </si>
  <si>
    <t>Taco Fisher #10</t>
  </si>
  <si>
    <t>Taco Fisher #8</t>
  </si>
  <si>
    <t>Taco Fisher #6</t>
  </si>
  <si>
    <t>Taco Fisher #5</t>
  </si>
  <si>
    <t>Taco Fisher #12</t>
  </si>
  <si>
    <t>Tiza Industrial</t>
  </si>
  <si>
    <t>SKU:305007 Toma Corriente para Extensión Weggo</t>
  </si>
  <si>
    <t>SKU:305022 Enchufe Plástico 2 patas</t>
  </si>
  <si>
    <t>Alumband 5mx20cm</t>
  </si>
  <si>
    <t>Nivel STANLEY 18"</t>
  </si>
  <si>
    <t>Boquilla Baquelita con Cable</t>
  </si>
  <si>
    <t>Breaker  50A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</si>
</sst>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64" formatCode="&quot;$&quot;#,##0.00"/>
    </dxf>
    <dxf>
      <numFmt numFmtId="164" formatCode="&quot;$&quot;#,##0.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5</xdr:row>
      <xdr:rowOff>19050</xdr:rowOff>
    </xdr:from>
    <xdr:to>
      <xdr:col>2</xdr:col>
      <xdr:colOff>711200</xdr:colOff>
      <xdr:row>7</xdr:row>
      <xdr:rowOff>114300</xdr:rowOff>
    </xdr:to>
    <xdr:sp macro="[0]!btn_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2D07878-436A-FF65-1387-EB79E603363C}"/>
            </a:ext>
          </a:extLst>
        </xdr:cNvPr>
        <xdr:cNvSpPr/>
      </xdr:nvSpPr>
      <xdr:spPr>
        <a:xfrm>
          <a:off x="781050" y="93980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PRODUCTOS</a:t>
          </a:r>
        </a:p>
      </xdr:txBody>
    </xdr:sp>
    <xdr:clientData/>
  </xdr:twoCellAnchor>
  <xdr:twoCellAnchor>
    <xdr:from>
      <xdr:col>4</xdr:col>
      <xdr:colOff>0</xdr:colOff>
      <xdr:row>5</xdr:row>
      <xdr:rowOff>12700</xdr:rowOff>
    </xdr:from>
    <xdr:to>
      <xdr:col>5</xdr:col>
      <xdr:colOff>692150</xdr:colOff>
      <xdr:row>7</xdr:row>
      <xdr:rowOff>107950</xdr:rowOff>
    </xdr:to>
    <xdr:sp macro="[0]!btn_movimi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E3E1641-F916-4587-A599-88BBF42EEB91}"/>
            </a:ext>
          </a:extLst>
        </xdr:cNvPr>
        <xdr:cNvSpPr/>
      </xdr:nvSpPr>
      <xdr:spPr>
        <a:xfrm>
          <a:off x="3048000" y="93345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MOVIMIENTOS</a:t>
          </a:r>
        </a:p>
      </xdr:txBody>
    </xdr:sp>
    <xdr:clientData/>
  </xdr:twoCellAnchor>
  <xdr:twoCellAnchor>
    <xdr:from>
      <xdr:col>7</xdr:col>
      <xdr:colOff>6350</xdr:colOff>
      <xdr:row>5</xdr:row>
      <xdr:rowOff>6350</xdr:rowOff>
    </xdr:from>
    <xdr:to>
      <xdr:col>8</xdr:col>
      <xdr:colOff>698500</xdr:colOff>
      <xdr:row>7</xdr:row>
      <xdr:rowOff>101600</xdr:rowOff>
    </xdr:to>
    <xdr:sp macro="[0]!btn_v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86FDCAD-C059-41F4-8DB4-D85143032284}"/>
            </a:ext>
          </a:extLst>
        </xdr:cNvPr>
        <xdr:cNvSpPr/>
      </xdr:nvSpPr>
      <xdr:spPr>
        <a:xfrm>
          <a:off x="5340350" y="92710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VENTAS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692150</xdr:colOff>
      <xdr:row>12</xdr:row>
      <xdr:rowOff>95250</xdr:rowOff>
    </xdr:to>
    <xdr:sp macro="[0]!btn_compr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32D8AE5-5B85-4633-9048-E5E71AD568CF}"/>
            </a:ext>
          </a:extLst>
        </xdr:cNvPr>
        <xdr:cNvSpPr/>
      </xdr:nvSpPr>
      <xdr:spPr>
        <a:xfrm>
          <a:off x="762000" y="184150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COMPRAS</a:t>
          </a:r>
        </a:p>
      </xdr:txBody>
    </xdr:sp>
    <xdr:clientData/>
  </xdr:twoCellAnchor>
  <xdr:twoCellAnchor>
    <xdr:from>
      <xdr:col>1</xdr:col>
      <xdr:colOff>6350</xdr:colOff>
      <xdr:row>15</xdr:row>
      <xdr:rowOff>19050</xdr:rowOff>
    </xdr:from>
    <xdr:to>
      <xdr:col>2</xdr:col>
      <xdr:colOff>698500</xdr:colOff>
      <xdr:row>17</xdr:row>
      <xdr:rowOff>114300</xdr:rowOff>
    </xdr:to>
    <xdr:sp macro="[0]!btn_reporteUnitari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F53A2F5-141A-426C-8272-BD427DAB65E4}"/>
            </a:ext>
          </a:extLst>
        </xdr:cNvPr>
        <xdr:cNvSpPr/>
      </xdr:nvSpPr>
      <xdr:spPr>
        <a:xfrm>
          <a:off x="768350" y="278130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REPORTE UNITARIO</a:t>
          </a:r>
        </a:p>
      </xdr:txBody>
    </xdr:sp>
    <xdr:clientData/>
  </xdr:twoCellAnchor>
  <xdr:twoCellAnchor>
    <xdr:from>
      <xdr:col>4</xdr:col>
      <xdr:colOff>6350</xdr:colOff>
      <xdr:row>10</xdr:row>
      <xdr:rowOff>6350</xdr:rowOff>
    </xdr:from>
    <xdr:to>
      <xdr:col>5</xdr:col>
      <xdr:colOff>698500</xdr:colOff>
      <xdr:row>12</xdr:row>
      <xdr:rowOff>101600</xdr:rowOff>
    </xdr:to>
    <xdr:sp macro="[0]!btn_reporteVent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CE2D8A36-1498-41A1-AAE4-D6ED9774F474}"/>
            </a:ext>
          </a:extLst>
        </xdr:cNvPr>
        <xdr:cNvSpPr/>
      </xdr:nvSpPr>
      <xdr:spPr>
        <a:xfrm>
          <a:off x="3054350" y="184785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REPORTE VENTAS</a:t>
          </a:r>
        </a:p>
      </xdr:txBody>
    </xdr:sp>
    <xdr:clientData/>
  </xdr:twoCellAnchor>
  <xdr:twoCellAnchor>
    <xdr:from>
      <xdr:col>4</xdr:col>
      <xdr:colOff>12700</xdr:colOff>
      <xdr:row>15</xdr:row>
      <xdr:rowOff>25400</xdr:rowOff>
    </xdr:from>
    <xdr:to>
      <xdr:col>5</xdr:col>
      <xdr:colOff>704850</xdr:colOff>
      <xdr:row>17</xdr:row>
      <xdr:rowOff>120650</xdr:rowOff>
    </xdr:to>
    <xdr:sp macro="[0]!btn_client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D87BAE9-D8E5-461B-999E-7F90BD7E8DA2}"/>
            </a:ext>
          </a:extLst>
        </xdr:cNvPr>
        <xdr:cNvSpPr/>
      </xdr:nvSpPr>
      <xdr:spPr>
        <a:xfrm>
          <a:off x="3060700" y="278765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CLIENTES</a:t>
          </a:r>
        </a:p>
      </xdr:txBody>
    </xdr:sp>
    <xdr:clientData/>
  </xdr:twoCellAnchor>
  <xdr:twoCellAnchor>
    <xdr:from>
      <xdr:col>7</xdr:col>
      <xdr:colOff>12700</xdr:colOff>
      <xdr:row>10</xdr:row>
      <xdr:rowOff>12700</xdr:rowOff>
    </xdr:from>
    <xdr:to>
      <xdr:col>8</xdr:col>
      <xdr:colOff>704850</xdr:colOff>
      <xdr:row>12</xdr:row>
      <xdr:rowOff>107950</xdr:rowOff>
    </xdr:to>
    <xdr:sp macro="[0]!btn_reporteCompra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EF370D3-CC83-4337-A4CC-547467155EBA}"/>
            </a:ext>
          </a:extLst>
        </xdr:cNvPr>
        <xdr:cNvSpPr/>
      </xdr:nvSpPr>
      <xdr:spPr>
        <a:xfrm>
          <a:off x="5346700" y="185420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REPORTE COMPRAS</a:t>
          </a:r>
        </a:p>
      </xdr:txBody>
    </xdr:sp>
    <xdr:clientData/>
  </xdr:twoCellAnchor>
  <xdr:twoCellAnchor>
    <xdr:from>
      <xdr:col>7</xdr:col>
      <xdr:colOff>12700</xdr:colOff>
      <xdr:row>15</xdr:row>
      <xdr:rowOff>6350</xdr:rowOff>
    </xdr:from>
    <xdr:to>
      <xdr:col>8</xdr:col>
      <xdr:colOff>704850</xdr:colOff>
      <xdr:row>17</xdr:row>
      <xdr:rowOff>101600</xdr:rowOff>
    </xdr:to>
    <xdr:sp macro="[0]!btn_factura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F319400B-0164-43BB-8558-6C448E8C7598}"/>
            </a:ext>
          </a:extLst>
        </xdr:cNvPr>
        <xdr:cNvSpPr/>
      </xdr:nvSpPr>
      <xdr:spPr>
        <a:xfrm>
          <a:off x="5346700" y="2768600"/>
          <a:ext cx="1454150" cy="463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FACTURACION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19050</xdr:rowOff>
    </xdr:from>
    <xdr:to>
      <xdr:col>3</xdr:col>
      <xdr:colOff>438150</xdr:colOff>
      <xdr:row>2</xdr:row>
      <xdr:rowOff>177800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E2249C2-5B52-7FB3-437E-6C8E4B4EE2CA}"/>
            </a:ext>
          </a:extLst>
        </xdr:cNvPr>
        <xdr:cNvSpPr/>
      </xdr:nvSpPr>
      <xdr:spPr>
        <a:xfrm>
          <a:off x="317500" y="203200"/>
          <a:ext cx="164465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PRODUCTOS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</xdr:row>
      <xdr:rowOff>12700</xdr:rowOff>
    </xdr:from>
    <xdr:to>
      <xdr:col>3</xdr:col>
      <xdr:colOff>571500</xdr:colOff>
      <xdr:row>2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CC6FE2F-DD60-45FC-9E35-7136DC4B889D}"/>
            </a:ext>
          </a:extLst>
        </xdr:cNvPr>
        <xdr:cNvSpPr/>
      </xdr:nvSpPr>
      <xdr:spPr>
        <a:xfrm>
          <a:off x="266700" y="196850"/>
          <a:ext cx="259080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MOVIMIENTOS</a:t>
          </a:r>
        </a:p>
      </xdr:txBody>
    </xdr:sp>
    <xdr:clientData/>
  </xdr:twoCellAnchor>
  <xdr:twoCellAnchor>
    <xdr:from>
      <xdr:col>0</xdr:col>
      <xdr:colOff>755650</xdr:colOff>
      <xdr:row>15</xdr:row>
      <xdr:rowOff>114300</xdr:rowOff>
    </xdr:from>
    <xdr:to>
      <xdr:col>2</xdr:col>
      <xdr:colOff>82550</xdr:colOff>
      <xdr:row>16</xdr:row>
      <xdr:rowOff>171450</xdr:rowOff>
    </xdr:to>
    <xdr:sp macro="[0]!limpiar_movimien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55CD7F9-1DA2-5DBE-824A-0B4648BB9651}"/>
            </a:ext>
          </a:extLst>
        </xdr:cNvPr>
        <xdr:cNvSpPr/>
      </xdr:nvSpPr>
      <xdr:spPr>
        <a:xfrm>
          <a:off x="755650" y="2692400"/>
          <a:ext cx="1181100" cy="241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 Campos</a:t>
          </a:r>
        </a:p>
      </xdr:txBody>
    </xdr:sp>
    <xdr:clientData/>
  </xdr:twoCellAnchor>
  <xdr:twoCellAnchor>
    <xdr:from>
      <xdr:col>2</xdr:col>
      <xdr:colOff>488950</xdr:colOff>
      <xdr:row>15</xdr:row>
      <xdr:rowOff>127000</xdr:rowOff>
    </xdr:from>
    <xdr:to>
      <xdr:col>3</xdr:col>
      <xdr:colOff>381000</xdr:colOff>
      <xdr:row>17</xdr:row>
      <xdr:rowOff>0</xdr:rowOff>
    </xdr:to>
    <xdr:sp macro="[0]!guardar_movimient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2EDADD0-3558-47B2-B02A-D855F4FBD9CA}"/>
            </a:ext>
          </a:extLst>
        </xdr:cNvPr>
        <xdr:cNvSpPr/>
      </xdr:nvSpPr>
      <xdr:spPr>
        <a:xfrm>
          <a:off x="2343150" y="2705100"/>
          <a:ext cx="1098550" cy="241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Grabar Datos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0</xdr:row>
      <xdr:rowOff>171450</xdr:rowOff>
    </xdr:from>
    <xdr:to>
      <xdr:col>4</xdr:col>
      <xdr:colOff>476250</xdr:colOff>
      <xdr:row>2</xdr:row>
      <xdr:rowOff>146050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12642F9-6AC2-40FA-A878-E1C4B964A509}"/>
            </a:ext>
          </a:extLst>
        </xdr:cNvPr>
        <xdr:cNvSpPr/>
      </xdr:nvSpPr>
      <xdr:spPr>
        <a:xfrm>
          <a:off x="158750" y="171450"/>
          <a:ext cx="336550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COMPRAS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D227A8-418C-47FC-99C6-7825199ADC6B}" name="PRODUTOS" displayName="PRODUTOS" ref="B5:H659" totalsRowShown="0">
  <autoFilter ref="B5:H659" xr:uid="{E3D227A8-418C-47FC-99C6-7825199ADC6B}"/>
  <sortState xmlns:xlrd2="http://schemas.microsoft.com/office/spreadsheetml/2017/richdata2" ref="B6:H659">
    <sortCondition ref="C6:C659"/>
  </sortState>
  <tableColumns count="7">
    <tableColumn id="1" xr3:uid="{F5F52739-0454-4323-8291-6F89E548CDB5}" name="Codigo" dataDxfId="6">
      <calculatedColumnFormula>_xlfn.CONCAT("Prod-",TEXT(ROW(B6),"0000"))</calculatedColumnFormula>
    </tableColumn>
    <tableColumn id="7" xr3:uid="{99FF955C-230F-44BD-B8E1-5DA9835489BA}" name="Productos"/>
    <tableColumn id="2" xr3:uid="{D1074E1F-5E8F-4A9C-8824-2E1A7854AC6F}" name="Precio Compra" dataDxfId="5"/>
    <tableColumn id="3" xr3:uid="{45824B5C-954E-4363-9115-0813B88F065A}" name="Precio Venta" dataDxfId="4"/>
    <tableColumn id="4" xr3:uid="{D66A5C92-A7DA-4561-BA55-C8E2B40B9FC6}" name="Entrada"/>
    <tableColumn id="5" xr3:uid="{31E0FF08-78BE-46BB-B18A-5B5BA0FA22CD}" name="Salidas"/>
    <tableColumn id="6" xr3:uid="{F2A8CDB1-3377-4DF7-BB9C-FBD30ACEE35C}" name="Stock" dataDxfId="3">
      <calculatedColumnFormula>PRODUTOS[[#This Row],[Entrada]]-PRODUTOS[[#This Row],[Salidas]]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92E592-D8A5-467E-8BB5-E7D06EBEDF52}" name="Tabla4" displayName="Tabla4" ref="B20:K22" totalsRowShown="0">
  <autoFilter ref="B20:K22" xr:uid="{1992E592-D8A5-467E-8BB5-E7D06EBEDF52}"/>
  <tableColumns count="10">
    <tableColumn id="1" xr3:uid="{37E15038-4907-4680-8512-13D44769E287}" name="Codigo"/>
    <tableColumn id="2" xr3:uid="{A747698E-A654-4CE9-AA06-0E3F84269BC9}" name="Fecha" dataDxfId="2"/>
    <tableColumn id="3" xr3:uid="{EF114D49-B27B-4477-B1BE-0557A7AC9B72}" name="Produto"/>
    <tableColumn id="10" xr3:uid="{7B969F0A-B514-45D8-8404-502486F582BA}" name="Movimiento"/>
    <tableColumn id="4" xr3:uid="{E2A599B3-3D30-4953-85EB-04559393CB7B}" name="Cantidad"/>
    <tableColumn id="5" xr3:uid="{8715226B-79DC-4467-B1C1-5D2B0C068156}" name="Precio Compra"/>
    <tableColumn id="6" xr3:uid="{3991EF5C-0962-44CA-86BE-B54102ECB7F8}" name="Precio Venta"/>
    <tableColumn id="7" xr3:uid="{BB3776F9-0C3E-4A49-8618-D04A0B8A17CF}" name="Total Compra" dataDxfId="1">
      <calculatedColumnFormula>IF(Tabla4[[#This Row],[Movimiento]]="Compras",Tabla4[[#This Row],[Cantidad]]*Tabla4[[#This Row],[Precio Compra]],"")</calculatedColumnFormula>
    </tableColumn>
    <tableColumn id="8" xr3:uid="{5B13B30B-1EC0-4429-8ED5-90B176D02E52}" name="Total Venta" dataDxfId="0">
      <calculatedColumnFormula>IF(Tabla4[[#This Row],[Movimiento]]="Ventas",Tabla4[[#This Row],[Cantidad]]*Tabla4[[#This Row],[Precio Venta]],"")</calculatedColumnFormula>
    </tableColumn>
    <tableColumn id="9" xr3:uid="{7BA079B0-29D3-48B6-99C5-7B89A9D11106}" name="Observacion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7A6EE3-FDB4-419E-A3C8-53B47316A42C}" name="Tabla5" displayName="Tabla5" ref="A6:I7" totalsRowShown="0">
  <autoFilter ref="A6:I7" xr:uid="{2D7A6EE3-FDB4-419E-A3C8-53B47316A42C}"/>
  <tableColumns count="9">
    <tableColumn id="1" xr3:uid="{4D276A88-C496-4FCF-BA7B-5044619A90A4}" name="Codigo"/>
    <tableColumn id="2" xr3:uid="{7C0D283C-9250-4E2D-B063-50B9178A15BA}" name="Fecha"/>
    <tableColumn id="3" xr3:uid="{CF70B7E9-03BD-4311-A05A-B7FD30FD1890}" name="Producto"/>
    <tableColumn id="4" xr3:uid="{61BD183E-BF0F-4E60-8BCC-88B3F8BB789C}" name="Movimiento"/>
    <tableColumn id="5" xr3:uid="{88D38F72-3FF2-4FFF-9B47-C2C99788954D}" name="Cantidad"/>
    <tableColumn id="6" xr3:uid="{E7D0FB1F-322A-413A-99AB-68EE72A93806}" name="Precio Compra"/>
    <tableColumn id="7" xr3:uid="{DE21DA28-669F-41E6-9EC8-E56D12B5D446}" name="Precio Venta"/>
    <tableColumn id="8" xr3:uid="{D2875393-793F-4B43-8C55-C2E52682FC5B}" name="Total Compras "/>
    <tableColumn id="9" xr3:uid="{DA8F8024-A50E-459B-A1E9-C9B37B6BBF59}" name="Observacion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B7055-5C81-4F7D-89A0-2B26036D2DA5}" name="Tabla3" displayName="Tabla3" ref="B5:B7" totalsRowShown="0">
  <autoFilter ref="B5:B7" xr:uid="{E6DB7055-5C81-4F7D-89A0-2B26036D2DA5}"/>
  <tableColumns count="1">
    <tableColumn id="1" xr3:uid="{3260EF25-DA75-4301-8A27-45A09D3C836B}" name="movimien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9398-34D3-402E-BF88-F032DDF80740}">
  <sheetPr codeName="Hoja1"/>
  <dimension ref="A1"/>
  <sheetViews>
    <sheetView workbookViewId="0">
      <selection activeCell="G20" sqref="G20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5CB6-BE20-4EE9-BE40-691F0FE776BD}">
  <sheetPr codeName="Hoja2"/>
  <dimension ref="B5:H659"/>
  <sheetViews>
    <sheetView tabSelected="1" topLeftCell="A76" workbookViewId="0">
      <selection activeCell="E106" sqref="E106"/>
    </sheetView>
  </sheetViews>
  <sheetFormatPr baseColWidth="10" defaultRowHeight="15" x14ac:dyDescent="0.25"/>
  <cols>
    <col min="2" max="2" width="24.42578125" customWidth="1"/>
    <col min="3" max="3" width="55.140625" customWidth="1"/>
    <col min="4" max="4" width="15.140625" customWidth="1"/>
    <col min="5" max="5" width="13.42578125" customWidth="1"/>
  </cols>
  <sheetData>
    <row r="5" spans="2:8" x14ac:dyDescent="0.25">
      <c r="B5" t="s">
        <v>19</v>
      </c>
      <c r="C5" t="s">
        <v>16</v>
      </c>
      <c r="D5" t="s">
        <v>1</v>
      </c>
      <c r="E5" t="s">
        <v>2</v>
      </c>
      <c r="F5" t="s">
        <v>3</v>
      </c>
      <c r="G5" t="s">
        <v>4</v>
      </c>
      <c r="H5" t="s">
        <v>5</v>
      </c>
    </row>
    <row r="6" spans="2:8" x14ac:dyDescent="0.25">
      <c r="B6" t="str">
        <f>_xlfn.CONCAT("Prod-",TEXT(ROW(B6),"0000"))</f>
        <v>Prod-0006</v>
      </c>
      <c r="C6" t="s">
        <v>445</v>
      </c>
      <c r="D6" s="1"/>
      <c r="E6" s="1"/>
      <c r="F6">
        <v>1</v>
      </c>
      <c r="H6">
        <f>PRODUTOS[[#This Row],[Entrada]]-PRODUTOS[[#This Row],[Salidas]]</f>
        <v>1</v>
      </c>
    </row>
    <row r="7" spans="2:8" x14ac:dyDescent="0.25">
      <c r="B7" t="str">
        <f>_xlfn.CONCAT("Prod-",TEXT(ROW(B7),"0000"))</f>
        <v>Prod-0007</v>
      </c>
      <c r="C7" t="s">
        <v>371</v>
      </c>
      <c r="D7" s="1"/>
      <c r="E7" s="1"/>
      <c r="F7">
        <v>1</v>
      </c>
      <c r="H7">
        <f>PRODUTOS[[#This Row],[Entrada]]-PRODUTOS[[#This Row],[Salidas]]</f>
        <v>1</v>
      </c>
    </row>
    <row r="8" spans="2:8" x14ac:dyDescent="0.25">
      <c r="B8" t="str">
        <f>_xlfn.CONCAT("Prod-",TEXT(ROW(B8),"0000"))</f>
        <v>Prod-0008</v>
      </c>
      <c r="C8" t="s">
        <v>359</v>
      </c>
      <c r="D8" s="1"/>
      <c r="E8" s="1"/>
      <c r="F8">
        <v>4</v>
      </c>
      <c r="H8">
        <f>PRODUTOS[[#This Row],[Entrada]]-PRODUTOS[[#This Row],[Salidas]]</f>
        <v>4</v>
      </c>
    </row>
    <row r="9" spans="2:8" x14ac:dyDescent="0.25">
      <c r="B9" t="str">
        <f>_xlfn.CONCAT("Prod-",TEXT(ROW(B9),"0000"))</f>
        <v>Prod-0009</v>
      </c>
      <c r="C9" t="s">
        <v>360</v>
      </c>
      <c r="D9" s="1"/>
      <c r="E9" s="1"/>
      <c r="F9">
        <v>1</v>
      </c>
      <c r="H9">
        <f>PRODUTOS[[#This Row],[Entrada]]-PRODUTOS[[#This Row],[Salidas]]</f>
        <v>1</v>
      </c>
    </row>
    <row r="10" spans="2:8" x14ac:dyDescent="0.25">
      <c r="B10" t="str">
        <f>_xlfn.CONCAT("Prod-",TEXT(ROW(B10),"0000"))</f>
        <v>Prod-0010</v>
      </c>
      <c r="C10" t="s">
        <v>136</v>
      </c>
      <c r="D10" s="1"/>
      <c r="E10" s="1"/>
      <c r="F10">
        <v>8</v>
      </c>
      <c r="H10">
        <f>PRODUTOS[[#This Row],[Entrada]]-PRODUTOS[[#This Row],[Salidas]]</f>
        <v>8</v>
      </c>
    </row>
    <row r="11" spans="2:8" x14ac:dyDescent="0.25">
      <c r="B11" t="str">
        <f>_xlfn.CONCAT("Prod-",TEXT(ROW(B11),"0000"))</f>
        <v>Prod-0011</v>
      </c>
      <c r="C11" t="s">
        <v>370</v>
      </c>
      <c r="D11" s="1"/>
      <c r="E11" s="1"/>
      <c r="F11">
        <v>4</v>
      </c>
      <c r="H11">
        <f>PRODUTOS[[#This Row],[Entrada]]-PRODUTOS[[#This Row],[Salidas]]</f>
        <v>4</v>
      </c>
    </row>
    <row r="12" spans="2:8" x14ac:dyDescent="0.25">
      <c r="B12" t="str">
        <f>_xlfn.CONCAT("Prod-",TEXT(ROW(B12),"0000"))</f>
        <v>Prod-0012</v>
      </c>
      <c r="C12" t="s">
        <v>372</v>
      </c>
      <c r="D12" s="1"/>
      <c r="E12" s="1"/>
      <c r="F12">
        <v>7</v>
      </c>
      <c r="H12">
        <f>PRODUTOS[[#This Row],[Entrada]]-PRODUTOS[[#This Row],[Salidas]]</f>
        <v>7</v>
      </c>
    </row>
    <row r="13" spans="2:8" x14ac:dyDescent="0.25">
      <c r="B13" t="str">
        <f>_xlfn.CONCAT("Prod-",TEXT(ROW(B13),"0000"))</f>
        <v>Prod-0013</v>
      </c>
      <c r="C13" t="s">
        <v>353</v>
      </c>
      <c r="D13" s="1"/>
      <c r="E13" s="1"/>
      <c r="F13">
        <v>6</v>
      </c>
      <c r="H13">
        <f>PRODUTOS[[#This Row],[Entrada]]-PRODUTOS[[#This Row],[Salidas]]</f>
        <v>6</v>
      </c>
    </row>
    <row r="14" spans="2:8" x14ac:dyDescent="0.25">
      <c r="B14" t="str">
        <f>_xlfn.CONCAT("Prod-",TEXT(ROW(B14),"0000"))</f>
        <v>Prod-0014</v>
      </c>
      <c r="C14" t="s">
        <v>352</v>
      </c>
      <c r="D14" s="1"/>
      <c r="E14" s="1"/>
      <c r="F14">
        <v>3</v>
      </c>
      <c r="H14">
        <f>PRODUTOS[[#This Row],[Entrada]]-PRODUTOS[[#This Row],[Salidas]]</f>
        <v>3</v>
      </c>
    </row>
    <row r="15" spans="2:8" x14ac:dyDescent="0.25">
      <c r="B15" t="str">
        <f>_xlfn.CONCAT("Prod-",TEXT(ROW(B15),"0000"))</f>
        <v>Prod-0015</v>
      </c>
      <c r="C15" t="s">
        <v>369</v>
      </c>
      <c r="D15" s="1"/>
      <c r="E15" s="1"/>
      <c r="F15">
        <v>3</v>
      </c>
      <c r="H15">
        <f>PRODUTOS[[#This Row],[Entrada]]-PRODUTOS[[#This Row],[Salidas]]</f>
        <v>3</v>
      </c>
    </row>
    <row r="16" spans="2:8" x14ac:dyDescent="0.25">
      <c r="B16" t="str">
        <f>_xlfn.CONCAT("Prod-",TEXT(ROW(B16),"0000"))</f>
        <v>Prod-0016</v>
      </c>
      <c r="C16" t="s">
        <v>361</v>
      </c>
      <c r="D16" s="1"/>
      <c r="E16" s="1"/>
      <c r="F16">
        <v>1</v>
      </c>
      <c r="H16">
        <f>PRODUTOS[[#This Row],[Entrada]]-PRODUTOS[[#This Row],[Salidas]]</f>
        <v>1</v>
      </c>
    </row>
    <row r="17" spans="2:8" x14ac:dyDescent="0.25">
      <c r="B17" t="str">
        <f>_xlfn.CONCAT("Prod-",TEXT(ROW(B17),"0000"))</f>
        <v>Prod-0017</v>
      </c>
      <c r="C17" t="s">
        <v>66</v>
      </c>
      <c r="D17" s="1"/>
      <c r="E17" s="1"/>
      <c r="F17">
        <v>5</v>
      </c>
      <c r="H17">
        <f>PRODUTOS[[#This Row],[Entrada]]-PRODUTOS[[#This Row],[Salidas]]</f>
        <v>5</v>
      </c>
    </row>
    <row r="18" spans="2:8" x14ac:dyDescent="0.25">
      <c r="B18" t="str">
        <f>_xlfn.CONCAT("Prod-",TEXT(ROW(B18),"0000"))</f>
        <v>Prod-0018</v>
      </c>
      <c r="C18" t="s">
        <v>449</v>
      </c>
      <c r="D18" s="1"/>
      <c r="E18" s="1"/>
      <c r="F18">
        <v>4</v>
      </c>
      <c r="H18">
        <f>PRODUTOS[[#This Row],[Entrada]]-PRODUTOS[[#This Row],[Salidas]]</f>
        <v>4</v>
      </c>
    </row>
    <row r="19" spans="2:8" x14ac:dyDescent="0.25">
      <c r="B19" t="str">
        <f>_xlfn.CONCAT("Prod-",TEXT(ROW(B19),"0000"))</f>
        <v>Prod-0019</v>
      </c>
      <c r="C19" t="s">
        <v>448</v>
      </c>
      <c r="D19" s="1"/>
      <c r="E19" s="1"/>
      <c r="F19">
        <v>1</v>
      </c>
      <c r="H19">
        <f>PRODUTOS[[#This Row],[Entrada]]-PRODUTOS[[#This Row],[Salidas]]</f>
        <v>1</v>
      </c>
    </row>
    <row r="20" spans="2:8" x14ac:dyDescent="0.25">
      <c r="B20" t="str">
        <f>_xlfn.CONCAT("Prod-",TEXT(ROW(B20),"0000"))</f>
        <v>Prod-0020</v>
      </c>
      <c r="C20" t="s">
        <v>450</v>
      </c>
      <c r="D20" s="1"/>
      <c r="E20" s="1"/>
      <c r="F20">
        <v>4</v>
      </c>
      <c r="H20">
        <f>PRODUTOS[[#This Row],[Entrada]]-PRODUTOS[[#This Row],[Salidas]]</f>
        <v>4</v>
      </c>
    </row>
    <row r="21" spans="2:8" x14ac:dyDescent="0.25">
      <c r="B21" t="str">
        <f>_xlfn.CONCAT("Prod-",TEXT(ROW(B21),"0000"))</f>
        <v>Prod-0021</v>
      </c>
      <c r="C21" t="s">
        <v>451</v>
      </c>
      <c r="D21" s="1"/>
      <c r="E21" s="1"/>
      <c r="F21">
        <v>1</v>
      </c>
      <c r="H21">
        <f>PRODUTOS[[#This Row],[Entrada]]-PRODUTOS[[#This Row],[Salidas]]</f>
        <v>1</v>
      </c>
    </row>
    <row r="22" spans="2:8" x14ac:dyDescent="0.25">
      <c r="B22" t="str">
        <f>_xlfn.CONCAT("Prod-",TEXT(ROW(B22),"0000"))</f>
        <v>Prod-0022</v>
      </c>
      <c r="C22" t="s">
        <v>351</v>
      </c>
      <c r="D22" s="1"/>
      <c r="E22" s="1"/>
      <c r="F22">
        <v>3</v>
      </c>
      <c r="H22">
        <f>PRODUTOS[[#This Row],[Entrada]]-PRODUTOS[[#This Row],[Salidas]]</f>
        <v>3</v>
      </c>
    </row>
    <row r="23" spans="2:8" x14ac:dyDescent="0.25">
      <c r="B23" t="str">
        <f>_xlfn.CONCAT("Prod-",TEXT(ROW(B23),"0000"))</f>
        <v>Prod-0023</v>
      </c>
      <c r="C23" t="s">
        <v>476</v>
      </c>
      <c r="D23" s="1"/>
      <c r="E23" s="1"/>
      <c r="F23">
        <v>2</v>
      </c>
      <c r="H23">
        <f>PRODUTOS[[#This Row],[Entrada]]-PRODUTOS[[#This Row],[Salidas]]</f>
        <v>2</v>
      </c>
    </row>
    <row r="24" spans="2:8" x14ac:dyDescent="0.25">
      <c r="B24" t="str">
        <f>_xlfn.CONCAT("Prod-",TEXT(ROW(B24),"0000"))</f>
        <v>Prod-0024</v>
      </c>
      <c r="C24" t="s">
        <v>475</v>
      </c>
      <c r="D24" s="1"/>
      <c r="E24" s="1"/>
      <c r="F24">
        <v>2</v>
      </c>
      <c r="H24">
        <f>PRODUTOS[[#This Row],[Entrada]]-PRODUTOS[[#This Row],[Salidas]]</f>
        <v>2</v>
      </c>
    </row>
    <row r="25" spans="2:8" x14ac:dyDescent="0.25">
      <c r="B25" t="str">
        <f>_xlfn.CONCAT("Prod-",TEXT(ROW(B25),"0000"))</f>
        <v>Prod-0025</v>
      </c>
      <c r="C25" t="s">
        <v>463</v>
      </c>
      <c r="D25" s="1"/>
      <c r="E25" s="1"/>
      <c r="F25">
        <v>6</v>
      </c>
      <c r="H25">
        <f>PRODUTOS[[#This Row],[Entrada]]-PRODUTOS[[#This Row],[Salidas]]</f>
        <v>6</v>
      </c>
    </row>
    <row r="26" spans="2:8" x14ac:dyDescent="0.25">
      <c r="B26" t="str">
        <f>_xlfn.CONCAT("Prod-",TEXT(ROW(B26),"0000"))</f>
        <v>Prod-0026</v>
      </c>
      <c r="C26" t="s">
        <v>464</v>
      </c>
      <c r="D26" s="1"/>
      <c r="E26" s="1"/>
      <c r="F26">
        <v>6</v>
      </c>
      <c r="H26">
        <f>PRODUTOS[[#This Row],[Entrada]]-PRODUTOS[[#This Row],[Salidas]]</f>
        <v>6</v>
      </c>
    </row>
    <row r="27" spans="2:8" x14ac:dyDescent="0.25">
      <c r="B27" t="str">
        <f>_xlfn.CONCAT("Prod-",TEXT(ROW(B27),"0000"))</f>
        <v>Prod-0027</v>
      </c>
      <c r="C27" t="s">
        <v>481</v>
      </c>
      <c r="D27" s="1"/>
      <c r="E27" s="1"/>
      <c r="F27">
        <v>2</v>
      </c>
      <c r="H27">
        <f>PRODUTOS[[#This Row],[Entrada]]-PRODUTOS[[#This Row],[Salidas]]</f>
        <v>2</v>
      </c>
    </row>
    <row r="28" spans="2:8" x14ac:dyDescent="0.25">
      <c r="B28" t="str">
        <f>_xlfn.CONCAT("Prod-",TEXT(ROW(B28),"0000"))</f>
        <v>Prod-0028</v>
      </c>
      <c r="C28" t="s">
        <v>477</v>
      </c>
      <c r="D28" s="1"/>
      <c r="E28" s="1"/>
      <c r="F28">
        <v>2</v>
      </c>
      <c r="H28">
        <f>PRODUTOS[[#This Row],[Entrada]]-PRODUTOS[[#This Row],[Salidas]]</f>
        <v>2</v>
      </c>
    </row>
    <row r="29" spans="2:8" x14ac:dyDescent="0.25">
      <c r="B29" t="str">
        <f>_xlfn.CONCAT("Prod-",TEXT(ROW(B29),"0000"))</f>
        <v>Prod-0029</v>
      </c>
      <c r="C29" t="s">
        <v>610</v>
      </c>
      <c r="D29" s="1"/>
      <c r="E29" s="1"/>
      <c r="F29">
        <v>3</v>
      </c>
      <c r="H29">
        <f>PRODUTOS[[#This Row],[Entrada]]-PRODUTOS[[#This Row],[Salidas]]</f>
        <v>3</v>
      </c>
    </row>
    <row r="30" spans="2:8" x14ac:dyDescent="0.25">
      <c r="B30" t="str">
        <f>_xlfn.CONCAT("Prod-",TEXT(ROW(B30),"0000"))</f>
        <v>Prod-0030</v>
      </c>
      <c r="C30" t="s">
        <v>245</v>
      </c>
      <c r="D30" s="1"/>
      <c r="E30" s="1"/>
      <c r="F30">
        <v>6</v>
      </c>
      <c r="H30">
        <f>PRODUTOS[[#This Row],[Entrada]]-PRODUTOS[[#This Row],[Salidas]]</f>
        <v>6</v>
      </c>
    </row>
    <row r="31" spans="2:8" x14ac:dyDescent="0.25">
      <c r="B31" t="str">
        <f>_xlfn.CONCAT("Prod-",TEXT(ROW(B31),"0000"))</f>
        <v>Prod-0031</v>
      </c>
      <c r="C31" t="s">
        <v>246</v>
      </c>
      <c r="D31" s="1"/>
      <c r="E31" s="1"/>
      <c r="F31">
        <v>6</v>
      </c>
      <c r="H31">
        <f>PRODUTOS[[#This Row],[Entrada]]-PRODUTOS[[#This Row],[Salidas]]</f>
        <v>6</v>
      </c>
    </row>
    <row r="32" spans="2:8" x14ac:dyDescent="0.25">
      <c r="B32" t="str">
        <f>_xlfn.CONCAT("Prod-",TEXT(ROW(B32),"0000"))</f>
        <v>Prod-0032</v>
      </c>
      <c r="C32" t="s">
        <v>573</v>
      </c>
      <c r="D32" s="1"/>
      <c r="E32" s="1"/>
      <c r="F32">
        <v>2</v>
      </c>
      <c r="H32">
        <f>PRODUTOS[[#This Row],[Entrada]]-PRODUTOS[[#This Row],[Salidas]]</f>
        <v>2</v>
      </c>
    </row>
    <row r="33" spans="2:8" x14ac:dyDescent="0.25">
      <c r="B33" t="str">
        <f>_xlfn.CONCAT("Prod-",TEXT(ROW(B33),"0000"))</f>
        <v>Prod-0033</v>
      </c>
      <c r="C33" t="s">
        <v>84</v>
      </c>
      <c r="D33" s="1"/>
      <c r="E33" s="1"/>
      <c r="F33">
        <v>1</v>
      </c>
      <c r="H33">
        <f>PRODUTOS[[#This Row],[Entrada]]-PRODUTOS[[#This Row],[Salidas]]</f>
        <v>1</v>
      </c>
    </row>
    <row r="34" spans="2:8" x14ac:dyDescent="0.25">
      <c r="B34" t="str">
        <f>_xlfn.CONCAT("Prod-",TEXT(ROW(B34),"0000"))</f>
        <v>Prod-0034</v>
      </c>
      <c r="C34" t="s">
        <v>83</v>
      </c>
      <c r="D34" s="1"/>
      <c r="E34" s="1">
        <v>14.5</v>
      </c>
      <c r="F34">
        <v>2</v>
      </c>
      <c r="H34">
        <f>PRODUTOS[[#This Row],[Entrada]]-PRODUTOS[[#This Row],[Salidas]]</f>
        <v>2</v>
      </c>
    </row>
    <row r="35" spans="2:8" x14ac:dyDescent="0.25">
      <c r="B35" t="str">
        <f>_xlfn.CONCAT("Prod-",TEXT(ROW(B35),"0000"))</f>
        <v>Prod-0035</v>
      </c>
      <c r="C35" t="s">
        <v>81</v>
      </c>
      <c r="D35" s="1"/>
      <c r="E35" s="1">
        <v>26.8</v>
      </c>
      <c r="F35">
        <v>1</v>
      </c>
      <c r="H35">
        <f>PRODUTOS[[#This Row],[Entrada]]-PRODUTOS[[#This Row],[Salidas]]</f>
        <v>1</v>
      </c>
    </row>
    <row r="36" spans="2:8" x14ac:dyDescent="0.25">
      <c r="B36" t="str">
        <f>_xlfn.CONCAT("Prod-",TEXT(ROW(B36),"0000"))</f>
        <v>Prod-0036</v>
      </c>
      <c r="C36" t="s">
        <v>82</v>
      </c>
      <c r="D36" s="1"/>
      <c r="E36" s="1">
        <v>9.5500000000000007</v>
      </c>
      <c r="F36">
        <v>4</v>
      </c>
      <c r="H36">
        <f>PRODUTOS[[#This Row],[Entrada]]-PRODUTOS[[#This Row],[Salidas]]</f>
        <v>4</v>
      </c>
    </row>
    <row r="37" spans="2:8" x14ac:dyDescent="0.25">
      <c r="B37" s="6" t="str">
        <f>_xlfn.CONCAT("Prod-",TEXT(ROW(B37),"0000"))</f>
        <v>Prod-0037</v>
      </c>
      <c r="C37" t="s">
        <v>675</v>
      </c>
      <c r="D37" s="1"/>
      <c r="E37" s="1">
        <v>14.2</v>
      </c>
      <c r="F37">
        <v>1</v>
      </c>
      <c r="H37" s="6">
        <f>PRODUTOS[[#This Row],[Entrada]]-PRODUTOS[[#This Row],[Salidas]]</f>
        <v>1</v>
      </c>
    </row>
    <row r="38" spans="2:8" x14ac:dyDescent="0.25">
      <c r="B38" t="str">
        <f>_xlfn.CONCAT("Prod-",TEXT(ROW(B38),"0000"))</f>
        <v>Prod-0038</v>
      </c>
      <c r="C38" t="s">
        <v>331</v>
      </c>
      <c r="D38" s="1"/>
      <c r="E38" s="1">
        <v>6.25</v>
      </c>
      <c r="F38">
        <v>4</v>
      </c>
      <c r="H38">
        <f>PRODUTOS[[#This Row],[Entrada]]-PRODUTOS[[#This Row],[Salidas]]</f>
        <v>4</v>
      </c>
    </row>
    <row r="39" spans="2:8" x14ac:dyDescent="0.25">
      <c r="B39" t="str">
        <f>_xlfn.CONCAT("Prod-",TEXT(ROW(B39),"0000"))</f>
        <v>Prod-0039</v>
      </c>
      <c r="C39" t="s">
        <v>332</v>
      </c>
      <c r="D39" s="1"/>
      <c r="E39" s="1">
        <v>3.5</v>
      </c>
      <c r="F39">
        <v>5</v>
      </c>
      <c r="H39">
        <f>PRODUTOS[[#This Row],[Entrada]]-PRODUTOS[[#This Row],[Salidas]]</f>
        <v>5</v>
      </c>
    </row>
    <row r="40" spans="2:8" x14ac:dyDescent="0.25">
      <c r="B40" t="str">
        <f>_xlfn.CONCAT("Prod-",TEXT(ROW(B40),"0000"))</f>
        <v>Prod-0040</v>
      </c>
      <c r="C40" t="s">
        <v>330</v>
      </c>
      <c r="D40" s="1"/>
      <c r="E40" s="1">
        <v>4.45</v>
      </c>
      <c r="F40">
        <v>1</v>
      </c>
      <c r="H40">
        <f>PRODUTOS[[#This Row],[Entrada]]-PRODUTOS[[#This Row],[Salidas]]</f>
        <v>1</v>
      </c>
    </row>
    <row r="41" spans="2:8" x14ac:dyDescent="0.25">
      <c r="B41" t="str">
        <f>_xlfn.CONCAT("Prod-",TEXT(ROW(B41),"0000"))</f>
        <v>Prod-0041</v>
      </c>
      <c r="C41" t="s">
        <v>538</v>
      </c>
      <c r="D41" s="1"/>
      <c r="E41" s="1">
        <v>13.8</v>
      </c>
      <c r="F41">
        <v>6</v>
      </c>
      <c r="H41">
        <f>PRODUTOS[[#This Row],[Entrada]]-PRODUTOS[[#This Row],[Salidas]]</f>
        <v>6</v>
      </c>
    </row>
    <row r="42" spans="2:8" x14ac:dyDescent="0.25">
      <c r="B42" t="str">
        <f>_xlfn.CONCAT("Prod-",TEXT(ROW(B42),"0000"))</f>
        <v>Prod-0042</v>
      </c>
      <c r="C42" t="s">
        <v>540</v>
      </c>
      <c r="D42" s="1"/>
      <c r="E42" s="1">
        <v>10.9</v>
      </c>
      <c r="F42">
        <v>6</v>
      </c>
      <c r="H42">
        <f>PRODUTOS[[#This Row],[Entrada]]-PRODUTOS[[#This Row],[Salidas]]</f>
        <v>6</v>
      </c>
    </row>
    <row r="43" spans="2:8" x14ac:dyDescent="0.25">
      <c r="B43" t="str">
        <f>_xlfn.CONCAT("Prod-",TEXT(ROW(B43),"0000"))</f>
        <v>Prod-0043</v>
      </c>
      <c r="C43" t="s">
        <v>644</v>
      </c>
      <c r="D43" s="1"/>
      <c r="E43" s="1">
        <v>16.5</v>
      </c>
      <c r="F43">
        <v>4</v>
      </c>
      <c r="H43">
        <f>PRODUTOS[[#This Row],[Entrada]]-PRODUTOS[[#This Row],[Salidas]]</f>
        <v>4</v>
      </c>
    </row>
    <row r="44" spans="2:8" x14ac:dyDescent="0.25">
      <c r="B44" t="str">
        <f>_xlfn.CONCAT("Prod-",TEXT(ROW(B44),"0000"))</f>
        <v>Prod-0044</v>
      </c>
      <c r="C44" t="s">
        <v>645</v>
      </c>
      <c r="D44" s="1"/>
      <c r="E44" s="1">
        <v>5.5</v>
      </c>
      <c r="F44">
        <v>5</v>
      </c>
      <c r="H44">
        <f>PRODUTOS[[#This Row],[Entrada]]-PRODUTOS[[#This Row],[Salidas]]</f>
        <v>5</v>
      </c>
    </row>
    <row r="45" spans="2:8" x14ac:dyDescent="0.25">
      <c r="B45" t="str">
        <f>_xlfn.CONCAT("Prod-",TEXT(ROW(B45),"0000"))</f>
        <v>Prod-0045</v>
      </c>
      <c r="C45" t="s">
        <v>643</v>
      </c>
      <c r="D45" s="1"/>
      <c r="E45" s="1"/>
      <c r="F45">
        <v>2</v>
      </c>
      <c r="H45">
        <f>PRODUTOS[[#This Row],[Entrada]]-PRODUTOS[[#This Row],[Salidas]]</f>
        <v>2</v>
      </c>
    </row>
    <row r="46" spans="2:8" x14ac:dyDescent="0.25">
      <c r="B46" t="str">
        <f>_xlfn.CONCAT("Prod-",TEXT(ROW(B46),"0000"))</f>
        <v>Prod-0046</v>
      </c>
      <c r="C46" t="s">
        <v>472</v>
      </c>
      <c r="D46" s="1"/>
      <c r="E46" s="1"/>
      <c r="F46">
        <v>8</v>
      </c>
      <c r="H46">
        <f>PRODUTOS[[#This Row],[Entrada]]-PRODUTOS[[#This Row],[Salidas]]</f>
        <v>8</v>
      </c>
    </row>
    <row r="47" spans="2:8" x14ac:dyDescent="0.25">
      <c r="B47" t="str">
        <f>_xlfn.CONCAT("Prod-",TEXT(ROW(B47),"0000"))</f>
        <v>Prod-0047</v>
      </c>
      <c r="C47" t="s">
        <v>36</v>
      </c>
      <c r="D47" s="1"/>
      <c r="E47" s="1">
        <v>2.4</v>
      </c>
      <c r="F47">
        <v>5</v>
      </c>
      <c r="G47">
        <v>0</v>
      </c>
      <c r="H47">
        <f>PRODUTOS[[#This Row],[Entrada]]-PRODUTOS[[#This Row],[Salidas]]</f>
        <v>5</v>
      </c>
    </row>
    <row r="48" spans="2:8" x14ac:dyDescent="0.25">
      <c r="B48" t="str">
        <f>_xlfn.CONCAT("Prod-",TEXT(ROW(B48),"0000"))</f>
        <v>Prod-0048</v>
      </c>
      <c r="C48" t="s">
        <v>37</v>
      </c>
      <c r="D48" s="1"/>
      <c r="E48" s="1">
        <v>0.8</v>
      </c>
      <c r="F48">
        <v>4</v>
      </c>
      <c r="H48">
        <f>PRODUTOS[[#This Row],[Entrada]]-PRODUTOS[[#This Row],[Salidas]]</f>
        <v>4</v>
      </c>
    </row>
    <row r="49" spans="2:8" x14ac:dyDescent="0.25">
      <c r="B49" t="str">
        <f>_xlfn.CONCAT("Prod-",TEXT(ROW(B49),"0000"))</f>
        <v>Prod-0049</v>
      </c>
      <c r="C49" t="s">
        <v>34</v>
      </c>
      <c r="D49" s="1"/>
      <c r="E49" s="1">
        <v>4</v>
      </c>
      <c r="F49">
        <v>4</v>
      </c>
      <c r="H49">
        <f>PRODUTOS[[#This Row],[Entrada]]-PRODUTOS[[#This Row],[Salidas]]</f>
        <v>4</v>
      </c>
    </row>
    <row r="50" spans="2:8" x14ac:dyDescent="0.25">
      <c r="B50" t="str">
        <f>_xlfn.CONCAT("Prod-",TEXT(ROW(B50),"0000"))</f>
        <v>Prod-0050</v>
      </c>
      <c r="C50" t="s">
        <v>35</v>
      </c>
      <c r="D50" s="1"/>
      <c r="E50" s="1">
        <v>1.5</v>
      </c>
      <c r="F50">
        <v>6</v>
      </c>
      <c r="H50">
        <f>PRODUTOS[[#This Row],[Entrada]]-PRODUTOS[[#This Row],[Salidas]]</f>
        <v>6</v>
      </c>
    </row>
    <row r="51" spans="2:8" x14ac:dyDescent="0.25">
      <c r="B51" t="str">
        <f>_xlfn.CONCAT("Prod-",TEXT(ROW(B51),"0000"))</f>
        <v>Prod-0051</v>
      </c>
      <c r="C51" t="s">
        <v>677</v>
      </c>
      <c r="D51" s="1"/>
      <c r="E51" s="1">
        <v>0.9</v>
      </c>
      <c r="F51">
        <v>16</v>
      </c>
      <c r="H51">
        <f>PRODUTOS[[#This Row],[Entrada]]-PRODUTOS[[#This Row],[Salidas]]</f>
        <v>16</v>
      </c>
    </row>
    <row r="52" spans="2:8" x14ac:dyDescent="0.25">
      <c r="B52" t="str">
        <f>_xlfn.CONCAT("Prod-",TEXT(ROW(B52),"0000"))</f>
        <v>Prod-0052</v>
      </c>
      <c r="C52" t="s">
        <v>462</v>
      </c>
      <c r="D52" s="1"/>
      <c r="E52" s="1">
        <v>0.5</v>
      </c>
      <c r="F52">
        <v>9</v>
      </c>
      <c r="H52">
        <f>PRODUTOS[[#This Row],[Entrada]]-PRODUTOS[[#This Row],[Salidas]]</f>
        <v>9</v>
      </c>
    </row>
    <row r="53" spans="2:8" x14ac:dyDescent="0.25">
      <c r="B53" t="str">
        <f>_xlfn.CONCAT("Prod-",TEXT(ROW(B53),"0000"))</f>
        <v>Prod-0053</v>
      </c>
      <c r="C53" t="s">
        <v>461</v>
      </c>
      <c r="D53" s="1"/>
      <c r="E53" s="1">
        <v>0.5</v>
      </c>
      <c r="F53">
        <v>4</v>
      </c>
      <c r="H53">
        <f>PRODUTOS[[#This Row],[Entrada]]-PRODUTOS[[#This Row],[Salidas]]</f>
        <v>4</v>
      </c>
    </row>
    <row r="54" spans="2:8" x14ac:dyDescent="0.25">
      <c r="B54" t="str">
        <f>_xlfn.CONCAT("Prod-",TEXT(ROW(B54),"0000"))</f>
        <v>Prod-0054</v>
      </c>
      <c r="C54" t="s">
        <v>564</v>
      </c>
      <c r="D54" s="1"/>
      <c r="E54" s="1"/>
      <c r="F54">
        <v>3</v>
      </c>
      <c r="H54">
        <f>PRODUTOS[[#This Row],[Entrada]]-PRODUTOS[[#This Row],[Salidas]]</f>
        <v>3</v>
      </c>
    </row>
    <row r="55" spans="2:8" x14ac:dyDescent="0.25">
      <c r="B55" t="str">
        <f>_xlfn.CONCAT("Prod-",TEXT(ROW(B55),"0000"))</f>
        <v>Prod-0055</v>
      </c>
      <c r="C55" t="s">
        <v>563</v>
      </c>
      <c r="D55" s="1"/>
      <c r="E55" s="1"/>
      <c r="F55">
        <v>2</v>
      </c>
      <c r="H55">
        <f>PRODUTOS[[#This Row],[Entrada]]-PRODUTOS[[#This Row],[Salidas]]</f>
        <v>2</v>
      </c>
    </row>
    <row r="56" spans="2:8" x14ac:dyDescent="0.25">
      <c r="B56" t="str">
        <f>_xlfn.CONCAT("Prod-",TEXT(ROW(B56),"0000"))</f>
        <v>Prod-0056</v>
      </c>
      <c r="C56" t="s">
        <v>562</v>
      </c>
      <c r="D56" s="1"/>
      <c r="E56" s="1"/>
      <c r="F56">
        <v>2</v>
      </c>
      <c r="H56">
        <f>PRODUTOS[[#This Row],[Entrada]]-PRODUTOS[[#This Row],[Salidas]]</f>
        <v>2</v>
      </c>
    </row>
    <row r="57" spans="2:8" x14ac:dyDescent="0.25">
      <c r="B57" t="str">
        <f>_xlfn.CONCAT("Prod-",TEXT(ROW(B57),"0000"))</f>
        <v>Prod-0057</v>
      </c>
      <c r="C57" t="s">
        <v>678</v>
      </c>
      <c r="D57" s="1"/>
      <c r="E57" s="1">
        <v>7.61</v>
      </c>
      <c r="F57">
        <v>2</v>
      </c>
      <c r="H57">
        <f>PRODUTOS[[#This Row],[Entrada]]-PRODUTOS[[#This Row],[Salidas]]</f>
        <v>2</v>
      </c>
    </row>
    <row r="58" spans="2:8" x14ac:dyDescent="0.25">
      <c r="B58" t="str">
        <f>_xlfn.CONCAT("Prod-",TEXT(ROW(B58),"0000"))</f>
        <v>Prod-0058</v>
      </c>
      <c r="C58" t="s">
        <v>603</v>
      </c>
      <c r="D58" s="1"/>
      <c r="E58" s="1"/>
      <c r="F58">
        <v>3</v>
      </c>
      <c r="H58">
        <f>PRODUTOS[[#This Row],[Entrada]]-PRODUTOS[[#This Row],[Salidas]]</f>
        <v>3</v>
      </c>
    </row>
    <row r="59" spans="2:8" x14ac:dyDescent="0.25">
      <c r="B59" t="str">
        <f>_xlfn.CONCAT("Prod-",TEXT(ROW(B59),"0000"))</f>
        <v>Prod-0059</v>
      </c>
      <c r="C59" t="s">
        <v>602</v>
      </c>
      <c r="D59" s="1"/>
      <c r="E59" s="1"/>
      <c r="F59">
        <v>5</v>
      </c>
      <c r="H59">
        <f>PRODUTOS[[#This Row],[Entrada]]-PRODUTOS[[#This Row],[Salidas]]</f>
        <v>5</v>
      </c>
    </row>
    <row r="60" spans="2:8" x14ac:dyDescent="0.25">
      <c r="B60" t="str">
        <f>_xlfn.CONCAT("Prod-",TEXT(ROW(B60),"0000"))</f>
        <v>Prod-0060</v>
      </c>
      <c r="C60" t="s">
        <v>623</v>
      </c>
      <c r="D60" s="1"/>
      <c r="E60" s="1"/>
      <c r="F60">
        <v>15</v>
      </c>
      <c r="H60">
        <f>PRODUTOS[[#This Row],[Entrada]]-PRODUTOS[[#This Row],[Salidas]]</f>
        <v>15</v>
      </c>
    </row>
    <row r="61" spans="2:8" x14ac:dyDescent="0.25">
      <c r="B61" t="str">
        <f>_xlfn.CONCAT("Prod-",TEXT(ROW(B61),"0000"))</f>
        <v>Prod-0061</v>
      </c>
      <c r="C61" t="s">
        <v>616</v>
      </c>
      <c r="D61" s="1"/>
      <c r="E61" s="1"/>
      <c r="F61">
        <v>4</v>
      </c>
      <c r="H61">
        <f>PRODUTOS[[#This Row],[Entrada]]-PRODUTOS[[#This Row],[Salidas]]</f>
        <v>4</v>
      </c>
    </row>
    <row r="62" spans="2:8" x14ac:dyDescent="0.25">
      <c r="B62" t="str">
        <f>_xlfn.CONCAT("Prod-",TEXT(ROW(B62),"0000"))</f>
        <v>Prod-0062</v>
      </c>
      <c r="C62" t="s">
        <v>617</v>
      </c>
      <c r="D62" s="1"/>
      <c r="E62" s="1"/>
      <c r="F62">
        <v>4</v>
      </c>
      <c r="H62">
        <f>PRODUTOS[[#This Row],[Entrada]]-PRODUTOS[[#This Row],[Salidas]]</f>
        <v>4</v>
      </c>
    </row>
    <row r="63" spans="2:8" x14ac:dyDescent="0.25">
      <c r="B63" t="str">
        <f>_xlfn.CONCAT("Prod-",TEXT(ROW(B63),"0000"))</f>
        <v>Prod-0063</v>
      </c>
      <c r="C63" t="s">
        <v>615</v>
      </c>
      <c r="D63" s="1"/>
      <c r="E63" s="1"/>
      <c r="F63">
        <v>3</v>
      </c>
      <c r="H63">
        <f>PRODUTOS[[#This Row],[Entrada]]-PRODUTOS[[#This Row],[Salidas]]</f>
        <v>3</v>
      </c>
    </row>
    <row r="64" spans="2:8" x14ac:dyDescent="0.25">
      <c r="B64" t="str">
        <f>_xlfn.CONCAT("Prod-",TEXT(ROW(B64),"0000"))</f>
        <v>Prod-0064</v>
      </c>
      <c r="C64" t="s">
        <v>639</v>
      </c>
      <c r="D64" s="1"/>
      <c r="E64" s="1"/>
      <c r="F64">
        <v>1</v>
      </c>
      <c r="H64">
        <f>PRODUTOS[[#This Row],[Entrada]]-PRODUTOS[[#This Row],[Salidas]]</f>
        <v>1</v>
      </c>
    </row>
    <row r="65" spans="2:8" x14ac:dyDescent="0.25">
      <c r="B65" t="str">
        <f>_xlfn.CONCAT("Prod-",TEXT(ROW(B65),"0000"))</f>
        <v>Prod-0065</v>
      </c>
      <c r="C65" t="s">
        <v>620</v>
      </c>
      <c r="D65" s="1"/>
      <c r="E65" s="1"/>
      <c r="F65">
        <v>2</v>
      </c>
      <c r="H65">
        <f>PRODUTOS[[#This Row],[Entrada]]-PRODUTOS[[#This Row],[Salidas]]</f>
        <v>2</v>
      </c>
    </row>
    <row r="66" spans="2:8" x14ac:dyDescent="0.25">
      <c r="B66" t="str">
        <f>_xlfn.CONCAT("Prod-",TEXT(ROW(B66),"0000"))</f>
        <v>Prod-0066</v>
      </c>
      <c r="C66" t="s">
        <v>621</v>
      </c>
      <c r="D66" s="1"/>
      <c r="E66" s="1"/>
      <c r="F66">
        <v>2</v>
      </c>
      <c r="H66">
        <f>PRODUTOS[[#This Row],[Entrada]]-PRODUTOS[[#This Row],[Salidas]]</f>
        <v>2</v>
      </c>
    </row>
    <row r="67" spans="2:8" x14ac:dyDescent="0.25">
      <c r="B67" t="str">
        <f>_xlfn.CONCAT("Prod-",TEXT(ROW(B67),"0000"))</f>
        <v>Prod-0067</v>
      </c>
      <c r="C67" t="s">
        <v>618</v>
      </c>
      <c r="D67" s="1"/>
      <c r="E67" s="1"/>
      <c r="F67">
        <v>10</v>
      </c>
      <c r="H67">
        <f>PRODUTOS[[#This Row],[Entrada]]-PRODUTOS[[#This Row],[Salidas]]</f>
        <v>10</v>
      </c>
    </row>
    <row r="68" spans="2:8" x14ac:dyDescent="0.25">
      <c r="B68" t="str">
        <f>_xlfn.CONCAT("Prod-",TEXT(ROW(B68),"0000"))</f>
        <v>Prod-0068</v>
      </c>
      <c r="C68" t="s">
        <v>619</v>
      </c>
      <c r="D68" s="1"/>
      <c r="E68" s="1"/>
      <c r="F68">
        <v>3</v>
      </c>
      <c r="H68">
        <f>PRODUTOS[[#This Row],[Entrada]]-PRODUTOS[[#This Row],[Salidas]]</f>
        <v>3</v>
      </c>
    </row>
    <row r="69" spans="2:8" x14ac:dyDescent="0.25">
      <c r="B69" t="str">
        <f>_xlfn.CONCAT("Prod-",TEXT(ROW(B69),"0000"))</f>
        <v>Prod-0069</v>
      </c>
      <c r="C69" t="s">
        <v>624</v>
      </c>
      <c r="D69" s="1"/>
      <c r="E69" s="1"/>
      <c r="F69">
        <v>19</v>
      </c>
      <c r="H69">
        <f>PRODUTOS[[#This Row],[Entrada]]-PRODUTOS[[#This Row],[Salidas]]</f>
        <v>19</v>
      </c>
    </row>
    <row r="70" spans="2:8" x14ac:dyDescent="0.25">
      <c r="B70" t="str">
        <f>_xlfn.CONCAT("Prod-",TEXT(ROW(B70),"0000"))</f>
        <v>Prod-0070</v>
      </c>
      <c r="C70" t="s">
        <v>632</v>
      </c>
      <c r="D70" s="1"/>
      <c r="E70" s="1"/>
      <c r="F70">
        <v>1</v>
      </c>
      <c r="H70">
        <f>PRODUTOS[[#This Row],[Entrada]]-PRODUTOS[[#This Row],[Salidas]]</f>
        <v>1</v>
      </c>
    </row>
    <row r="71" spans="2:8" x14ac:dyDescent="0.25">
      <c r="B71" t="str">
        <f>_xlfn.CONCAT("Prod-",TEXT(ROW(B71),"0000"))</f>
        <v>Prod-0071</v>
      </c>
      <c r="C71" t="s">
        <v>642</v>
      </c>
      <c r="D71" s="1"/>
      <c r="E71" s="1"/>
      <c r="F71">
        <v>1</v>
      </c>
      <c r="H71">
        <f>PRODUTOS[[#This Row],[Entrada]]-PRODUTOS[[#This Row],[Salidas]]</f>
        <v>1</v>
      </c>
    </row>
    <row r="72" spans="2:8" x14ac:dyDescent="0.25">
      <c r="B72" t="str">
        <f>_xlfn.CONCAT("Prod-",TEXT(ROW(B72),"0000"))</f>
        <v>Prod-0072</v>
      </c>
      <c r="C72" t="s">
        <v>625</v>
      </c>
      <c r="D72" s="1"/>
      <c r="E72" s="1"/>
      <c r="F72">
        <v>12</v>
      </c>
      <c r="H72">
        <f>PRODUTOS[[#This Row],[Entrada]]-PRODUTOS[[#This Row],[Salidas]]</f>
        <v>12</v>
      </c>
    </row>
    <row r="73" spans="2:8" x14ac:dyDescent="0.25">
      <c r="B73" t="str">
        <f>_xlfn.CONCAT("Prod-",TEXT(ROW(B73),"0000"))</f>
        <v>Prod-0073</v>
      </c>
      <c r="C73" t="s">
        <v>633</v>
      </c>
      <c r="D73" s="1"/>
      <c r="E73" s="1"/>
      <c r="F73">
        <v>1</v>
      </c>
      <c r="H73">
        <f>PRODUTOS[[#This Row],[Entrada]]-PRODUTOS[[#This Row],[Salidas]]</f>
        <v>1</v>
      </c>
    </row>
    <row r="74" spans="2:8" x14ac:dyDescent="0.25">
      <c r="B74" t="str">
        <f>_xlfn.CONCAT("Prod-",TEXT(ROW(B74),"0000"))</f>
        <v>Prod-0074</v>
      </c>
      <c r="C74" t="s">
        <v>628</v>
      </c>
      <c r="D74" s="1"/>
      <c r="E74" s="1"/>
      <c r="F74">
        <v>5</v>
      </c>
      <c r="H74">
        <f>PRODUTOS[[#This Row],[Entrada]]-PRODUTOS[[#This Row],[Salidas]]</f>
        <v>5</v>
      </c>
    </row>
    <row r="75" spans="2:8" x14ac:dyDescent="0.25">
      <c r="B75" t="str">
        <f>_xlfn.CONCAT("Prod-",TEXT(ROW(B75),"0000"))</f>
        <v>Prod-0075</v>
      </c>
      <c r="C75" t="s">
        <v>638</v>
      </c>
      <c r="D75" s="1"/>
      <c r="E75" s="1"/>
      <c r="F75">
        <v>1</v>
      </c>
      <c r="H75">
        <f>PRODUTOS[[#This Row],[Entrada]]-PRODUTOS[[#This Row],[Salidas]]</f>
        <v>1</v>
      </c>
    </row>
    <row r="76" spans="2:8" x14ac:dyDescent="0.25">
      <c r="B76" t="str">
        <f>_xlfn.CONCAT("Prod-",TEXT(ROW(B76),"0000"))</f>
        <v>Prod-0076</v>
      </c>
      <c r="C76" t="s">
        <v>629</v>
      </c>
      <c r="D76" s="1"/>
      <c r="E76" s="1"/>
      <c r="F76">
        <v>10</v>
      </c>
      <c r="H76">
        <f>PRODUTOS[[#This Row],[Entrada]]-PRODUTOS[[#This Row],[Salidas]]</f>
        <v>10</v>
      </c>
    </row>
    <row r="77" spans="2:8" x14ac:dyDescent="0.25">
      <c r="B77" t="str">
        <f>_xlfn.CONCAT("Prod-",TEXT(ROW(B77),"0000"))</f>
        <v>Prod-0077</v>
      </c>
      <c r="C77" t="s">
        <v>634</v>
      </c>
      <c r="D77" s="1"/>
      <c r="E77" s="1"/>
      <c r="F77">
        <v>10</v>
      </c>
      <c r="H77">
        <f>PRODUTOS[[#This Row],[Entrada]]-PRODUTOS[[#This Row],[Salidas]]</f>
        <v>10</v>
      </c>
    </row>
    <row r="78" spans="2:8" x14ac:dyDescent="0.25">
      <c r="B78" t="str">
        <f>_xlfn.CONCAT("Prod-",TEXT(ROW(B78),"0000"))</f>
        <v>Prod-0078</v>
      </c>
      <c r="C78" t="s">
        <v>636</v>
      </c>
      <c r="D78" s="1"/>
      <c r="E78" s="1"/>
      <c r="F78">
        <v>5</v>
      </c>
      <c r="H78">
        <f>PRODUTOS[[#This Row],[Entrada]]-PRODUTOS[[#This Row],[Salidas]]</f>
        <v>5</v>
      </c>
    </row>
    <row r="79" spans="2:8" x14ac:dyDescent="0.25">
      <c r="B79" t="str">
        <f>_xlfn.CONCAT("Prod-",TEXT(ROW(B79),"0000"))</f>
        <v>Prod-0079</v>
      </c>
      <c r="C79" t="s">
        <v>622</v>
      </c>
      <c r="D79" s="1"/>
      <c r="E79" s="1"/>
      <c r="F79">
        <v>3</v>
      </c>
      <c r="H79">
        <f>PRODUTOS[[#This Row],[Entrada]]-PRODUTOS[[#This Row],[Salidas]]</f>
        <v>3</v>
      </c>
    </row>
    <row r="80" spans="2:8" x14ac:dyDescent="0.25">
      <c r="B80" t="str">
        <f>_xlfn.CONCAT("Prod-",TEXT(ROW(B80),"0000"))</f>
        <v>Prod-0080</v>
      </c>
      <c r="C80" t="s">
        <v>630</v>
      </c>
      <c r="D80" s="1"/>
      <c r="E80" s="1"/>
      <c r="F80">
        <v>20</v>
      </c>
      <c r="H80">
        <f>PRODUTOS[[#This Row],[Entrada]]-PRODUTOS[[#This Row],[Salidas]]</f>
        <v>20</v>
      </c>
    </row>
    <row r="81" spans="2:8" x14ac:dyDescent="0.25">
      <c r="B81" t="str">
        <f>_xlfn.CONCAT("Prod-",TEXT(ROW(B81),"0000"))</f>
        <v>Prod-0081</v>
      </c>
      <c r="C81" t="s">
        <v>627</v>
      </c>
      <c r="D81" s="1"/>
      <c r="E81" s="1"/>
      <c r="F81">
        <v>1</v>
      </c>
      <c r="H81">
        <f>PRODUTOS[[#This Row],[Entrada]]-PRODUTOS[[#This Row],[Salidas]]</f>
        <v>1</v>
      </c>
    </row>
    <row r="82" spans="2:8" x14ac:dyDescent="0.25">
      <c r="B82" t="str">
        <f>_xlfn.CONCAT("Prod-",TEXT(ROW(B82),"0000"))</f>
        <v>Prod-0082</v>
      </c>
      <c r="C82" t="s">
        <v>641</v>
      </c>
      <c r="D82" s="1"/>
      <c r="E82" s="1"/>
      <c r="F82">
        <v>10</v>
      </c>
      <c r="H82">
        <f>PRODUTOS[[#This Row],[Entrada]]-PRODUTOS[[#This Row],[Salidas]]</f>
        <v>10</v>
      </c>
    </row>
    <row r="83" spans="2:8" x14ac:dyDescent="0.25">
      <c r="B83" t="str">
        <f>_xlfn.CONCAT("Prod-",TEXT(ROW(B83),"0000"))</f>
        <v>Prod-0083</v>
      </c>
      <c r="C83" t="s">
        <v>635</v>
      </c>
      <c r="D83" s="1"/>
      <c r="E83" s="1"/>
      <c r="F83">
        <v>5</v>
      </c>
      <c r="H83">
        <f>PRODUTOS[[#This Row],[Entrada]]-PRODUTOS[[#This Row],[Salidas]]</f>
        <v>5</v>
      </c>
    </row>
    <row r="84" spans="2:8" x14ac:dyDescent="0.25">
      <c r="B84" t="str">
        <f>_xlfn.CONCAT("Prod-",TEXT(ROW(B84),"0000"))</f>
        <v>Prod-0084</v>
      </c>
      <c r="C84" t="s">
        <v>637</v>
      </c>
      <c r="D84" s="1"/>
      <c r="E84" s="1"/>
      <c r="F84">
        <v>3</v>
      </c>
      <c r="H84">
        <f>PRODUTOS[[#This Row],[Entrada]]-PRODUTOS[[#This Row],[Salidas]]</f>
        <v>3</v>
      </c>
    </row>
    <row r="85" spans="2:8" x14ac:dyDescent="0.25">
      <c r="B85" t="str">
        <f>_xlfn.CONCAT("Prod-",TEXT(ROW(B85),"0000"))</f>
        <v>Prod-0085</v>
      </c>
      <c r="C85" t="s">
        <v>640</v>
      </c>
      <c r="D85" s="1"/>
      <c r="E85" s="1"/>
      <c r="F85">
        <v>7</v>
      </c>
      <c r="H85">
        <f>PRODUTOS[[#This Row],[Entrada]]-PRODUTOS[[#This Row],[Salidas]]</f>
        <v>7</v>
      </c>
    </row>
    <row r="86" spans="2:8" x14ac:dyDescent="0.25">
      <c r="B86" t="str">
        <f>_xlfn.CONCAT("Prod-",TEXT(ROW(B86),"0000"))</f>
        <v>Prod-0086</v>
      </c>
      <c r="C86" t="s">
        <v>631</v>
      </c>
      <c r="D86" s="1"/>
      <c r="E86" s="1"/>
      <c r="F86">
        <v>7</v>
      </c>
      <c r="H86">
        <f>PRODUTOS[[#This Row],[Entrada]]-PRODUTOS[[#This Row],[Salidas]]</f>
        <v>7</v>
      </c>
    </row>
    <row r="87" spans="2:8" x14ac:dyDescent="0.25">
      <c r="B87" t="str">
        <f>_xlfn.CONCAT("Prod-",TEXT(ROW(B87),"0000"))</f>
        <v>Prod-0087</v>
      </c>
      <c r="C87" t="s">
        <v>626</v>
      </c>
      <c r="D87" s="1"/>
      <c r="E87" s="1"/>
      <c r="F87">
        <v>5</v>
      </c>
      <c r="H87">
        <f>PRODUTOS[[#This Row],[Entrada]]-PRODUTOS[[#This Row],[Salidas]]</f>
        <v>5</v>
      </c>
    </row>
    <row r="88" spans="2:8" x14ac:dyDescent="0.25">
      <c r="B88" t="str">
        <f>_xlfn.CONCAT("Prod-",TEXT(ROW(B88),"0000"))</f>
        <v>Prod-0088</v>
      </c>
      <c r="C88" t="s">
        <v>260</v>
      </c>
      <c r="D88" s="1"/>
      <c r="E88" s="1"/>
      <c r="F88">
        <v>1</v>
      </c>
      <c r="H88">
        <f>PRODUTOS[[#This Row],[Entrada]]-PRODUTOS[[#This Row],[Salidas]]</f>
        <v>1</v>
      </c>
    </row>
    <row r="89" spans="2:8" x14ac:dyDescent="0.25">
      <c r="B89" t="str">
        <f>_xlfn.CONCAT("Prod-",TEXT(ROW(B89),"0000"))</f>
        <v>Prod-0089</v>
      </c>
      <c r="C89" t="s">
        <v>257</v>
      </c>
      <c r="D89" s="1"/>
      <c r="E89" s="1"/>
      <c r="F89">
        <v>2</v>
      </c>
      <c r="H89">
        <f>PRODUTOS[[#This Row],[Entrada]]-PRODUTOS[[#This Row],[Salidas]]</f>
        <v>2</v>
      </c>
    </row>
    <row r="90" spans="2:8" x14ac:dyDescent="0.25">
      <c r="B90" t="str">
        <f>_xlfn.CONCAT("Prod-",TEXT(ROW(B90),"0000"))</f>
        <v>Prod-0090</v>
      </c>
      <c r="C90" t="s">
        <v>262</v>
      </c>
      <c r="D90" s="1"/>
      <c r="E90" s="1"/>
      <c r="F90">
        <v>1</v>
      </c>
      <c r="H90">
        <f>PRODUTOS[[#This Row],[Entrada]]-PRODUTOS[[#This Row],[Salidas]]</f>
        <v>1</v>
      </c>
    </row>
    <row r="91" spans="2:8" x14ac:dyDescent="0.25">
      <c r="B91" t="str">
        <f>_xlfn.CONCAT("Prod-",TEXT(ROW(B91),"0000"))</f>
        <v>Prod-0091</v>
      </c>
      <c r="C91" t="s">
        <v>261</v>
      </c>
      <c r="D91" s="1"/>
      <c r="E91" s="1"/>
      <c r="F91">
        <v>3</v>
      </c>
      <c r="H91">
        <f>PRODUTOS[[#This Row],[Entrada]]-PRODUTOS[[#This Row],[Salidas]]</f>
        <v>3</v>
      </c>
    </row>
    <row r="92" spans="2:8" x14ac:dyDescent="0.25">
      <c r="B92" t="str">
        <f>_xlfn.CONCAT("Prod-",TEXT(ROW(B92),"0000"))</f>
        <v>Prod-0092</v>
      </c>
      <c r="C92" t="s">
        <v>171</v>
      </c>
      <c r="D92" s="1"/>
      <c r="E92" s="1">
        <v>0.6</v>
      </c>
      <c r="F92">
        <v>4</v>
      </c>
      <c r="H92">
        <f>PRODUTOS[[#This Row],[Entrada]]-PRODUTOS[[#This Row],[Salidas]]</f>
        <v>4</v>
      </c>
    </row>
    <row r="93" spans="2:8" x14ac:dyDescent="0.25">
      <c r="B93" t="str">
        <f>_xlfn.CONCAT("Prod-",TEXT(ROW(B93),"0000"))</f>
        <v>Prod-0093</v>
      </c>
      <c r="C93" t="s">
        <v>173</v>
      </c>
      <c r="D93" s="1"/>
      <c r="E93" s="1">
        <v>2.9</v>
      </c>
      <c r="F93">
        <v>3</v>
      </c>
      <c r="H93">
        <f>PRODUTOS[[#This Row],[Entrada]]-PRODUTOS[[#This Row],[Salidas]]</f>
        <v>3</v>
      </c>
    </row>
    <row r="94" spans="2:8" x14ac:dyDescent="0.25">
      <c r="B94" t="str">
        <f>_xlfn.CONCAT("Prod-",TEXT(ROW(B94),"0000"))</f>
        <v>Prod-0094</v>
      </c>
      <c r="C94" t="s">
        <v>170</v>
      </c>
      <c r="D94" s="1"/>
      <c r="E94" s="1">
        <v>0.75</v>
      </c>
      <c r="F94">
        <v>6</v>
      </c>
      <c r="H94">
        <f>PRODUTOS[[#This Row],[Entrada]]-PRODUTOS[[#This Row],[Salidas]]</f>
        <v>6</v>
      </c>
    </row>
    <row r="95" spans="2:8" x14ac:dyDescent="0.25">
      <c r="B95" t="str">
        <f>_xlfn.CONCAT("Prod-",TEXT(ROW(B95),"0000"))</f>
        <v>Prod-0095</v>
      </c>
      <c r="C95" t="s">
        <v>176</v>
      </c>
      <c r="D95" s="1"/>
      <c r="E95" s="1">
        <v>3.5</v>
      </c>
      <c r="F95">
        <v>2</v>
      </c>
      <c r="H95">
        <f>PRODUTOS[[#This Row],[Entrada]]-PRODUTOS[[#This Row],[Salidas]]</f>
        <v>2</v>
      </c>
    </row>
    <row r="96" spans="2:8" x14ac:dyDescent="0.25">
      <c r="B96" t="str">
        <f>_xlfn.CONCAT("Prod-",TEXT(ROW(B96),"0000"))</f>
        <v>Prod-0096</v>
      </c>
      <c r="C96" t="s">
        <v>166</v>
      </c>
      <c r="D96" s="1"/>
      <c r="E96" s="1">
        <v>1.1000000000000001</v>
      </c>
      <c r="F96">
        <v>7</v>
      </c>
      <c r="H96">
        <f>PRODUTOS[[#This Row],[Entrada]]-PRODUTOS[[#This Row],[Salidas]]</f>
        <v>7</v>
      </c>
    </row>
    <row r="97" spans="2:8" x14ac:dyDescent="0.25">
      <c r="B97" t="str">
        <f>_xlfn.CONCAT("Prod-",TEXT(ROW(B97),"0000"))</f>
        <v>Prod-0097</v>
      </c>
      <c r="C97" t="s">
        <v>167</v>
      </c>
      <c r="D97" s="1"/>
      <c r="E97" s="1">
        <v>2</v>
      </c>
      <c r="F97">
        <v>3</v>
      </c>
      <c r="H97">
        <f>PRODUTOS[[#This Row],[Entrada]]-PRODUTOS[[#This Row],[Salidas]]</f>
        <v>3</v>
      </c>
    </row>
    <row r="98" spans="2:8" x14ac:dyDescent="0.25">
      <c r="B98" t="str">
        <f>_xlfn.CONCAT("Prod-",TEXT(ROW(B98),"0000"))</f>
        <v>Prod-0098</v>
      </c>
      <c r="C98" t="s">
        <v>174</v>
      </c>
      <c r="D98" s="1"/>
      <c r="E98" s="1">
        <v>1</v>
      </c>
      <c r="F98">
        <v>1</v>
      </c>
      <c r="H98">
        <f>PRODUTOS[[#This Row],[Entrada]]-PRODUTOS[[#This Row],[Salidas]]</f>
        <v>1</v>
      </c>
    </row>
    <row r="99" spans="2:8" x14ac:dyDescent="0.25">
      <c r="B99" t="str">
        <f>_xlfn.CONCAT("Prod-",TEXT(ROW(B99),"0000"))</f>
        <v>Prod-0099</v>
      </c>
      <c r="C99" t="s">
        <v>175</v>
      </c>
      <c r="D99" s="1"/>
      <c r="E99" s="1">
        <v>3.5</v>
      </c>
      <c r="F99">
        <v>8</v>
      </c>
      <c r="G99">
        <v>1</v>
      </c>
      <c r="H99">
        <f>PRODUTOS[[#This Row],[Entrada]]-PRODUTOS[[#This Row],[Salidas]]</f>
        <v>7</v>
      </c>
    </row>
    <row r="100" spans="2:8" x14ac:dyDescent="0.25">
      <c r="B100" t="str">
        <f>_xlfn.CONCAT("Prod-",TEXT(ROW(B100),"0000"))</f>
        <v>Prod-0100</v>
      </c>
      <c r="C100" t="s">
        <v>169</v>
      </c>
      <c r="D100" s="1"/>
      <c r="E100" s="1">
        <v>2.8</v>
      </c>
      <c r="F100">
        <v>10</v>
      </c>
      <c r="H100">
        <f>PRODUTOS[[#This Row],[Entrada]]-PRODUTOS[[#This Row],[Salidas]]</f>
        <v>10</v>
      </c>
    </row>
    <row r="101" spans="2:8" x14ac:dyDescent="0.25">
      <c r="B101" t="str">
        <f>_xlfn.CONCAT("Prod-",TEXT(ROW(B101),"0000"))</f>
        <v>Prod-0101</v>
      </c>
      <c r="C101" t="s">
        <v>168</v>
      </c>
      <c r="D101" s="1"/>
      <c r="E101" s="1">
        <v>3.5</v>
      </c>
      <c r="F101">
        <v>8</v>
      </c>
      <c r="H101">
        <f>PRODUTOS[[#This Row],[Entrada]]-PRODUTOS[[#This Row],[Salidas]]</f>
        <v>8</v>
      </c>
    </row>
    <row r="102" spans="2:8" x14ac:dyDescent="0.25">
      <c r="B102" t="str">
        <f>_xlfn.CONCAT("Prod-",TEXT(ROW(B102),"0000"))</f>
        <v>Prod-0102</v>
      </c>
      <c r="C102" t="s">
        <v>172</v>
      </c>
      <c r="D102" s="1"/>
      <c r="E102" s="1">
        <v>3.8</v>
      </c>
      <c r="F102">
        <v>6</v>
      </c>
      <c r="H102">
        <f>PRODUTOS[[#This Row],[Entrada]]-PRODUTOS[[#This Row],[Salidas]]</f>
        <v>6</v>
      </c>
    </row>
    <row r="103" spans="2:8" x14ac:dyDescent="0.25">
      <c r="B103" t="str">
        <f>_xlfn.CONCAT("Prod-",TEXT(ROW(B103),"0000"))</f>
        <v>Prod-0103</v>
      </c>
      <c r="C103" t="s">
        <v>95</v>
      </c>
      <c r="D103" s="1"/>
      <c r="E103" s="1"/>
      <c r="F103">
        <v>36</v>
      </c>
      <c r="H103">
        <f>PRODUTOS[[#This Row],[Entrada]]-PRODUTOS[[#This Row],[Salidas]]</f>
        <v>36</v>
      </c>
    </row>
    <row r="104" spans="2:8" x14ac:dyDescent="0.25">
      <c r="B104" t="str">
        <f>_xlfn.CONCAT("Prod-",TEXT(ROW(B104),"0000"))</f>
        <v>Prod-0104</v>
      </c>
      <c r="C104" t="s">
        <v>94</v>
      </c>
      <c r="D104" s="1"/>
      <c r="E104" s="1"/>
      <c r="F104">
        <v>11</v>
      </c>
      <c r="H104">
        <f>PRODUTOS[[#This Row],[Entrada]]-PRODUTOS[[#This Row],[Salidas]]</f>
        <v>11</v>
      </c>
    </row>
    <row r="105" spans="2:8" x14ac:dyDescent="0.25">
      <c r="B105" t="str">
        <f>_xlfn.CONCAT("Prod-",TEXT(ROW(B105),"0000"))</f>
        <v>Prod-0105</v>
      </c>
      <c r="C105" t="s">
        <v>75</v>
      </c>
      <c r="D105" s="1"/>
      <c r="E105" s="1"/>
      <c r="F105">
        <v>11</v>
      </c>
      <c r="H105">
        <f>PRODUTOS[[#This Row],[Entrada]]-PRODUTOS[[#This Row],[Salidas]]</f>
        <v>11</v>
      </c>
    </row>
    <row r="106" spans="2:8" x14ac:dyDescent="0.25">
      <c r="B106" t="str">
        <f>_xlfn.CONCAT("Prod-",TEXT(ROW(B106),"0000"))</f>
        <v>Prod-0106</v>
      </c>
      <c r="C106" t="s">
        <v>97</v>
      </c>
      <c r="D106" s="1"/>
      <c r="E106" s="1">
        <v>0.6</v>
      </c>
      <c r="F106">
        <v>29</v>
      </c>
      <c r="H106">
        <f>PRODUTOS[[#This Row],[Entrada]]-PRODUTOS[[#This Row],[Salidas]]</f>
        <v>29</v>
      </c>
    </row>
    <row r="107" spans="2:8" x14ac:dyDescent="0.25">
      <c r="B107" t="str">
        <f>_xlfn.CONCAT("Prod-",TEXT(ROW(B107),"0000"))</f>
        <v>Prod-0107</v>
      </c>
      <c r="C107" t="s">
        <v>33</v>
      </c>
      <c r="D107" s="1"/>
      <c r="E107" s="1"/>
      <c r="F107">
        <v>36</v>
      </c>
      <c r="H107">
        <f>PRODUTOS[[#This Row],[Entrada]]-PRODUTOS[[#This Row],[Salidas]]</f>
        <v>36</v>
      </c>
    </row>
    <row r="108" spans="2:8" x14ac:dyDescent="0.25">
      <c r="B108" t="str">
        <f>_xlfn.CONCAT("Prod-",TEXT(ROW(B108),"0000"))</f>
        <v>Prod-0108</v>
      </c>
      <c r="C108" t="s">
        <v>132</v>
      </c>
      <c r="D108" s="1"/>
      <c r="E108" s="1"/>
      <c r="F108">
        <v>3</v>
      </c>
      <c r="H108">
        <f>PRODUTOS[[#This Row],[Entrada]]-PRODUTOS[[#This Row],[Salidas]]</f>
        <v>3</v>
      </c>
    </row>
    <row r="109" spans="2:8" x14ac:dyDescent="0.25">
      <c r="B109" t="str">
        <f>_xlfn.CONCAT("Prod-",TEXT(ROW(B109),"0000"))</f>
        <v>Prod-0109</v>
      </c>
      <c r="C109" t="s">
        <v>479</v>
      </c>
      <c r="D109" s="1"/>
      <c r="E109" s="1"/>
      <c r="F109">
        <v>4</v>
      </c>
      <c r="H109">
        <f>PRODUTOS[[#This Row],[Entrada]]-PRODUTOS[[#This Row],[Salidas]]</f>
        <v>4</v>
      </c>
    </row>
    <row r="110" spans="2:8" x14ac:dyDescent="0.25">
      <c r="B110" t="str">
        <f>_xlfn.CONCAT("Prod-",TEXT(ROW(B110),"0000"))</f>
        <v>Prod-0110</v>
      </c>
      <c r="C110" t="s">
        <v>432</v>
      </c>
      <c r="D110" s="1"/>
      <c r="E110" s="1"/>
      <c r="F110">
        <v>6</v>
      </c>
      <c r="H110">
        <f>PRODUTOS[[#This Row],[Entrada]]-PRODUTOS[[#This Row],[Salidas]]</f>
        <v>6</v>
      </c>
    </row>
    <row r="111" spans="2:8" x14ac:dyDescent="0.25">
      <c r="B111" t="str">
        <f>_xlfn.CONCAT("Prod-",TEXT(ROW(B111),"0000"))</f>
        <v>Prod-0111</v>
      </c>
      <c r="C111" t="s">
        <v>433</v>
      </c>
      <c r="D111" s="1"/>
      <c r="E111" s="1"/>
      <c r="F111">
        <v>6</v>
      </c>
      <c r="H111">
        <f>PRODUTOS[[#This Row],[Entrada]]-PRODUTOS[[#This Row],[Salidas]]</f>
        <v>6</v>
      </c>
    </row>
    <row r="112" spans="2:8" x14ac:dyDescent="0.25">
      <c r="B112" t="str">
        <f>_xlfn.CONCAT("Prod-",TEXT(ROW(B112),"0000"))</f>
        <v>Prod-0112</v>
      </c>
      <c r="C112" t="s">
        <v>439</v>
      </c>
      <c r="D112" s="1"/>
      <c r="E112" s="1"/>
      <c r="F112">
        <v>3</v>
      </c>
      <c r="H112">
        <f>PRODUTOS[[#This Row],[Entrada]]-PRODUTOS[[#This Row],[Salidas]]</f>
        <v>3</v>
      </c>
    </row>
    <row r="113" spans="2:8" x14ac:dyDescent="0.25">
      <c r="B113" t="str">
        <f>_xlfn.CONCAT("Prod-",TEXT(ROW(B113),"0000"))</f>
        <v>Prod-0113</v>
      </c>
      <c r="C113" t="s">
        <v>438</v>
      </c>
      <c r="D113" s="1"/>
      <c r="E113" s="1"/>
      <c r="F113">
        <v>2</v>
      </c>
      <c r="H113">
        <f>PRODUTOS[[#This Row],[Entrada]]-PRODUTOS[[#This Row],[Salidas]]</f>
        <v>2</v>
      </c>
    </row>
    <row r="114" spans="2:8" x14ac:dyDescent="0.25">
      <c r="B114" t="str">
        <f>_xlfn.CONCAT("Prod-",TEXT(ROW(B114),"0000"))</f>
        <v>Prod-0114</v>
      </c>
      <c r="C114" t="s">
        <v>436</v>
      </c>
      <c r="D114" s="1"/>
      <c r="E114" s="1"/>
      <c r="F114">
        <v>1</v>
      </c>
      <c r="H114">
        <f>PRODUTOS[[#This Row],[Entrada]]-PRODUTOS[[#This Row],[Salidas]]</f>
        <v>1</v>
      </c>
    </row>
    <row r="115" spans="2:8" x14ac:dyDescent="0.25">
      <c r="B115" t="str">
        <f>_xlfn.CONCAT("Prod-",TEXT(ROW(B115),"0000"))</f>
        <v>Prod-0115</v>
      </c>
      <c r="C115" t="s">
        <v>434</v>
      </c>
      <c r="D115" s="1"/>
      <c r="E115" s="1"/>
      <c r="F115">
        <v>1</v>
      </c>
      <c r="H115">
        <f>PRODUTOS[[#This Row],[Entrada]]-PRODUTOS[[#This Row],[Salidas]]</f>
        <v>1</v>
      </c>
    </row>
    <row r="116" spans="2:8" x14ac:dyDescent="0.25">
      <c r="B116" t="str">
        <f>_xlfn.CONCAT("Prod-",TEXT(ROW(B116),"0000"))</f>
        <v>Prod-0116</v>
      </c>
      <c r="C116" t="s">
        <v>437</v>
      </c>
      <c r="D116" s="1"/>
      <c r="E116" s="1"/>
      <c r="F116">
        <v>2</v>
      </c>
      <c r="H116">
        <f>PRODUTOS[[#This Row],[Entrada]]-PRODUTOS[[#This Row],[Salidas]]</f>
        <v>2</v>
      </c>
    </row>
    <row r="117" spans="2:8" x14ac:dyDescent="0.25">
      <c r="B117" t="str">
        <f>_xlfn.CONCAT("Prod-",TEXT(ROW(B117),"0000"))</f>
        <v>Prod-0117</v>
      </c>
      <c r="C117" t="s">
        <v>435</v>
      </c>
      <c r="D117" s="1"/>
      <c r="E117" s="1"/>
      <c r="F117">
        <v>2</v>
      </c>
      <c r="H117">
        <f>PRODUTOS[[#This Row],[Entrada]]-PRODUTOS[[#This Row],[Salidas]]</f>
        <v>2</v>
      </c>
    </row>
    <row r="118" spans="2:8" x14ac:dyDescent="0.25">
      <c r="B118" t="str">
        <f>_xlfn.CONCAT("Prod-",TEXT(ROW(B118),"0000"))</f>
        <v>Prod-0118</v>
      </c>
      <c r="C118" t="s">
        <v>428</v>
      </c>
      <c r="D118" s="1"/>
      <c r="E118" s="1"/>
      <c r="F118">
        <v>18</v>
      </c>
      <c r="H118">
        <f>PRODUTOS[[#This Row],[Entrada]]-PRODUTOS[[#This Row],[Salidas]]</f>
        <v>18</v>
      </c>
    </row>
    <row r="119" spans="2:8" x14ac:dyDescent="0.25">
      <c r="B119" t="str">
        <f>_xlfn.CONCAT("Prod-",TEXT(ROW(B119),"0000"))</f>
        <v>Prod-0119</v>
      </c>
      <c r="C119" t="s">
        <v>427</v>
      </c>
      <c r="D119" s="1">
        <v>0.34823999999999999</v>
      </c>
      <c r="E119" s="1">
        <v>0.55000000000000004</v>
      </c>
      <c r="F119">
        <v>55</v>
      </c>
      <c r="H119">
        <f>PRODUTOS[[#This Row],[Entrada]]-PRODUTOS[[#This Row],[Salidas]]</f>
        <v>55</v>
      </c>
    </row>
    <row r="120" spans="2:8" x14ac:dyDescent="0.25">
      <c r="B120" t="str">
        <f>_xlfn.CONCAT("Prod-",TEXT(ROW(B120),"0000"))</f>
        <v>Prod-0120</v>
      </c>
      <c r="C120" t="s">
        <v>426</v>
      </c>
      <c r="D120" s="1"/>
      <c r="E120" s="1"/>
      <c r="F120">
        <v>40</v>
      </c>
      <c r="H120">
        <f>PRODUTOS[[#This Row],[Entrada]]-PRODUTOS[[#This Row],[Salidas]]</f>
        <v>40</v>
      </c>
    </row>
    <row r="121" spans="2:8" x14ac:dyDescent="0.25">
      <c r="B121" t="str">
        <f>_xlfn.CONCAT("Prod-",TEXT(ROW(B121),"0000"))</f>
        <v>Prod-0121</v>
      </c>
      <c r="C121" t="s">
        <v>429</v>
      </c>
      <c r="D121" s="1">
        <v>0.30959999999999999</v>
      </c>
      <c r="E121" s="1">
        <v>0.55000000000000004</v>
      </c>
      <c r="F121">
        <v>54</v>
      </c>
      <c r="H121">
        <f>PRODUTOS[[#This Row],[Entrada]]-PRODUTOS[[#This Row],[Salidas]]</f>
        <v>54</v>
      </c>
    </row>
    <row r="122" spans="2:8" x14ac:dyDescent="0.25">
      <c r="B122" t="str">
        <f>_xlfn.CONCAT("Prod-",TEXT(ROW(B122),"0000"))</f>
        <v>Prod-0122</v>
      </c>
      <c r="C122" t="s">
        <v>430</v>
      </c>
      <c r="D122" s="1"/>
      <c r="E122" s="1"/>
      <c r="F122">
        <v>24</v>
      </c>
      <c r="H122">
        <f>PRODUTOS[[#This Row],[Entrada]]-PRODUTOS[[#This Row],[Salidas]]</f>
        <v>24</v>
      </c>
    </row>
    <row r="123" spans="2:8" x14ac:dyDescent="0.25">
      <c r="B123" t="str">
        <f>_xlfn.CONCAT("Prod-",TEXT(ROW(B123),"0000"))</f>
        <v>Prod-0123</v>
      </c>
      <c r="C123" t="s">
        <v>567</v>
      </c>
      <c r="D123" s="1"/>
      <c r="E123" s="1"/>
      <c r="F123">
        <v>2</v>
      </c>
      <c r="H123">
        <f>PRODUTOS[[#This Row],[Entrada]]-PRODUTOS[[#This Row],[Salidas]]</f>
        <v>2</v>
      </c>
    </row>
    <row r="124" spans="2:8" x14ac:dyDescent="0.25">
      <c r="B124" t="str">
        <f>_xlfn.CONCAT("Prod-",TEXT(ROW(B124),"0000"))</f>
        <v>Prod-0124</v>
      </c>
      <c r="C124" t="s">
        <v>440</v>
      </c>
      <c r="D124" s="1"/>
      <c r="E124" s="1"/>
      <c r="F124">
        <v>10</v>
      </c>
      <c r="H124">
        <f>PRODUTOS[[#This Row],[Entrada]]-PRODUTOS[[#This Row],[Salidas]]</f>
        <v>10</v>
      </c>
    </row>
    <row r="125" spans="2:8" x14ac:dyDescent="0.25">
      <c r="B125" t="str">
        <f>_xlfn.CONCAT("Prod-",TEXT(ROW(B125),"0000"))</f>
        <v>Prod-0125</v>
      </c>
      <c r="C125" t="s">
        <v>206</v>
      </c>
      <c r="D125" s="1"/>
      <c r="E125" s="1"/>
      <c r="F125">
        <v>11</v>
      </c>
      <c r="H125">
        <f>PRODUTOS[[#This Row],[Entrada]]-PRODUTOS[[#This Row],[Salidas]]</f>
        <v>11</v>
      </c>
    </row>
    <row r="126" spans="2:8" x14ac:dyDescent="0.25">
      <c r="B126" t="str">
        <f>_xlfn.CONCAT("Prod-",TEXT(ROW(B126),"0000"))</f>
        <v>Prod-0126</v>
      </c>
      <c r="C126" t="s">
        <v>207</v>
      </c>
      <c r="D126" s="1"/>
      <c r="E126" s="1"/>
      <c r="F126">
        <v>4</v>
      </c>
      <c r="H126">
        <f>PRODUTOS[[#This Row],[Entrada]]-PRODUTOS[[#This Row],[Salidas]]</f>
        <v>4</v>
      </c>
    </row>
    <row r="127" spans="2:8" x14ac:dyDescent="0.25">
      <c r="B127" t="str">
        <f>_xlfn.CONCAT("Prod-",TEXT(ROW(B127),"0000"))</f>
        <v>Prod-0127</v>
      </c>
      <c r="C127" t="s">
        <v>209</v>
      </c>
      <c r="D127" s="1"/>
      <c r="E127" s="1"/>
      <c r="F127">
        <v>5</v>
      </c>
      <c r="H127">
        <f>PRODUTOS[[#This Row],[Entrada]]-PRODUTOS[[#This Row],[Salidas]]</f>
        <v>5</v>
      </c>
    </row>
    <row r="128" spans="2:8" x14ac:dyDescent="0.25">
      <c r="B128" t="str">
        <f>_xlfn.CONCAT("Prod-",TEXT(ROW(B128),"0000"))</f>
        <v>Prod-0128</v>
      </c>
      <c r="C128" t="s">
        <v>202</v>
      </c>
      <c r="D128" s="1"/>
      <c r="E128" s="1"/>
      <c r="F128">
        <v>11</v>
      </c>
      <c r="H128">
        <f>PRODUTOS[[#This Row],[Entrada]]-PRODUTOS[[#This Row],[Salidas]]</f>
        <v>11</v>
      </c>
    </row>
    <row r="129" spans="2:8" x14ac:dyDescent="0.25">
      <c r="B129" t="str">
        <f>_xlfn.CONCAT("Prod-",TEXT(ROW(B129),"0000"))</f>
        <v>Prod-0129</v>
      </c>
      <c r="C129" t="s">
        <v>201</v>
      </c>
      <c r="D129" s="1"/>
      <c r="E129" s="1"/>
      <c r="F129">
        <v>12</v>
      </c>
      <c r="H129">
        <f>PRODUTOS[[#This Row],[Entrada]]-PRODUTOS[[#This Row],[Salidas]]</f>
        <v>12</v>
      </c>
    </row>
    <row r="130" spans="2:8" x14ac:dyDescent="0.25">
      <c r="B130" t="str">
        <f>_xlfn.CONCAT("Prod-",TEXT(ROW(B130),"0000"))</f>
        <v>Prod-0130</v>
      </c>
      <c r="C130" t="s">
        <v>200</v>
      </c>
      <c r="D130" s="1"/>
      <c r="E130" s="1"/>
      <c r="F130">
        <v>9</v>
      </c>
      <c r="H130">
        <f>PRODUTOS[[#This Row],[Entrada]]-PRODUTOS[[#This Row],[Salidas]]</f>
        <v>9</v>
      </c>
    </row>
    <row r="131" spans="2:8" x14ac:dyDescent="0.25">
      <c r="B131" t="str">
        <f>_xlfn.CONCAT("Prod-",TEXT(ROW(B131),"0000"))</f>
        <v>Prod-0131</v>
      </c>
      <c r="C131" t="s">
        <v>204</v>
      </c>
      <c r="D131" s="1"/>
      <c r="E131" s="1"/>
      <c r="F131">
        <v>11</v>
      </c>
      <c r="H131">
        <f>PRODUTOS[[#This Row],[Entrada]]-PRODUTOS[[#This Row],[Salidas]]</f>
        <v>11</v>
      </c>
    </row>
    <row r="132" spans="2:8" x14ac:dyDescent="0.25">
      <c r="B132" t="str">
        <f>_xlfn.CONCAT("Prod-",TEXT(ROW(B132),"0000"))</f>
        <v>Prod-0132</v>
      </c>
      <c r="C132" t="s">
        <v>203</v>
      </c>
      <c r="D132" s="1"/>
      <c r="E132" s="1"/>
      <c r="F132">
        <v>11</v>
      </c>
      <c r="H132">
        <f>PRODUTOS[[#This Row],[Entrada]]-PRODUTOS[[#This Row],[Salidas]]</f>
        <v>11</v>
      </c>
    </row>
    <row r="133" spans="2:8" x14ac:dyDescent="0.25">
      <c r="B133" t="str">
        <f>_xlfn.CONCAT("Prod-",TEXT(ROW(B133),"0000"))</f>
        <v>Prod-0133</v>
      </c>
      <c r="C133" t="s">
        <v>199</v>
      </c>
      <c r="D133" s="1"/>
      <c r="E133" s="1"/>
      <c r="F133">
        <v>9</v>
      </c>
      <c r="H133">
        <f>PRODUTOS[[#This Row],[Entrada]]-PRODUTOS[[#This Row],[Salidas]]</f>
        <v>9</v>
      </c>
    </row>
    <row r="134" spans="2:8" x14ac:dyDescent="0.25">
      <c r="B134" t="str">
        <f>_xlfn.CONCAT("Prod-",TEXT(ROW(B134),"0000"))</f>
        <v>Prod-0134</v>
      </c>
      <c r="C134" t="s">
        <v>211</v>
      </c>
      <c r="D134" s="1"/>
      <c r="E134" s="1"/>
      <c r="F134">
        <v>5</v>
      </c>
      <c r="H134">
        <f>PRODUTOS[[#This Row],[Entrada]]-PRODUTOS[[#This Row],[Salidas]]</f>
        <v>5</v>
      </c>
    </row>
    <row r="135" spans="2:8" x14ac:dyDescent="0.25">
      <c r="B135" t="str">
        <f>_xlfn.CONCAT("Prod-",TEXT(ROW(B135),"0000"))</f>
        <v>Prod-0135</v>
      </c>
      <c r="C135" t="s">
        <v>205</v>
      </c>
      <c r="D135" s="1"/>
      <c r="E135" s="1"/>
      <c r="F135">
        <v>12</v>
      </c>
      <c r="H135">
        <f>PRODUTOS[[#This Row],[Entrada]]-PRODUTOS[[#This Row],[Salidas]]</f>
        <v>12</v>
      </c>
    </row>
    <row r="136" spans="2:8" x14ac:dyDescent="0.25">
      <c r="B136" t="str">
        <f>_xlfn.CONCAT("Prod-",TEXT(ROW(B136),"0000"))</f>
        <v>Prod-0136</v>
      </c>
      <c r="C136" t="s">
        <v>210</v>
      </c>
      <c r="D136" s="1"/>
      <c r="E136" s="1"/>
      <c r="F136">
        <v>12</v>
      </c>
      <c r="H136">
        <f>PRODUTOS[[#This Row],[Entrada]]-PRODUTOS[[#This Row],[Salidas]]</f>
        <v>12</v>
      </c>
    </row>
    <row r="137" spans="2:8" x14ac:dyDescent="0.25">
      <c r="B137" t="str">
        <f>_xlfn.CONCAT("Prod-",TEXT(ROW(B137),"0000"))</f>
        <v>Prod-0137</v>
      </c>
      <c r="C137" t="s">
        <v>196</v>
      </c>
      <c r="D137" s="1"/>
      <c r="E137" s="1"/>
      <c r="F137">
        <v>12</v>
      </c>
      <c r="H137">
        <f>PRODUTOS[[#This Row],[Entrada]]-PRODUTOS[[#This Row],[Salidas]]</f>
        <v>12</v>
      </c>
    </row>
    <row r="138" spans="2:8" x14ac:dyDescent="0.25">
      <c r="B138" t="str">
        <f>_xlfn.CONCAT("Prod-",TEXT(ROW(B138),"0000"))</f>
        <v>Prod-0138</v>
      </c>
      <c r="C138" t="s">
        <v>197</v>
      </c>
      <c r="D138" s="1"/>
      <c r="E138" s="1"/>
      <c r="F138">
        <v>8</v>
      </c>
      <c r="H138">
        <f>PRODUTOS[[#This Row],[Entrada]]-PRODUTOS[[#This Row],[Salidas]]</f>
        <v>8</v>
      </c>
    </row>
    <row r="139" spans="2:8" x14ac:dyDescent="0.25">
      <c r="B139" t="str">
        <f>_xlfn.CONCAT("Prod-",TEXT(ROW(B139),"0000"))</f>
        <v>Prod-0139</v>
      </c>
      <c r="C139" t="s">
        <v>198</v>
      </c>
      <c r="D139" s="1"/>
      <c r="E139" s="1"/>
      <c r="F139">
        <v>3</v>
      </c>
      <c r="H139">
        <f>PRODUTOS[[#This Row],[Entrada]]-PRODUTOS[[#This Row],[Salidas]]</f>
        <v>3</v>
      </c>
    </row>
    <row r="140" spans="2:8" x14ac:dyDescent="0.25">
      <c r="B140" t="str">
        <f>_xlfn.CONCAT("Prod-",TEXT(ROW(B140),"0000"))</f>
        <v>Prod-0140</v>
      </c>
      <c r="C140" t="s">
        <v>208</v>
      </c>
      <c r="D140" s="1"/>
      <c r="E140" s="1"/>
      <c r="F140">
        <v>3</v>
      </c>
      <c r="H140">
        <f>PRODUTOS[[#This Row],[Entrada]]-PRODUTOS[[#This Row],[Salidas]]</f>
        <v>3</v>
      </c>
    </row>
    <row r="141" spans="2:8" x14ac:dyDescent="0.25">
      <c r="B141" t="str">
        <f>_xlfn.CONCAT("Prod-",TEXT(ROW(B141),"0000"))</f>
        <v>Prod-0141</v>
      </c>
      <c r="C141" t="s">
        <v>654</v>
      </c>
      <c r="D141" s="1"/>
      <c r="E141" s="1"/>
      <c r="F141">
        <v>170</v>
      </c>
      <c r="H141">
        <f>PRODUTOS[[#This Row],[Entrada]]-PRODUTOS[[#This Row],[Salidas]]</f>
        <v>170</v>
      </c>
    </row>
    <row r="142" spans="2:8" x14ac:dyDescent="0.25">
      <c r="B142" t="str">
        <f>_xlfn.CONCAT("Prod-",TEXT(ROW(B142),"0000"))</f>
        <v>Prod-0142</v>
      </c>
      <c r="C142" t="s">
        <v>650</v>
      </c>
      <c r="D142" s="1"/>
      <c r="E142" s="1"/>
      <c r="F142">
        <v>6</v>
      </c>
      <c r="H142">
        <f>PRODUTOS[[#This Row],[Entrada]]-PRODUTOS[[#This Row],[Salidas]]</f>
        <v>6</v>
      </c>
    </row>
    <row r="143" spans="2:8" x14ac:dyDescent="0.25">
      <c r="B143" t="str">
        <f>_xlfn.CONCAT("Prod-",TEXT(ROW(B143),"0000"))</f>
        <v>Prod-0143</v>
      </c>
      <c r="C143" t="s">
        <v>648</v>
      </c>
      <c r="D143" s="1"/>
      <c r="E143" s="1"/>
      <c r="F143">
        <v>1</v>
      </c>
      <c r="H143">
        <f>PRODUTOS[[#This Row],[Entrada]]-PRODUTOS[[#This Row],[Salidas]]</f>
        <v>1</v>
      </c>
    </row>
    <row r="144" spans="2:8" x14ac:dyDescent="0.25">
      <c r="B144" t="str">
        <f>_xlfn.CONCAT("Prod-",TEXT(ROW(B144),"0000"))</f>
        <v>Prod-0144</v>
      </c>
      <c r="C144" t="s">
        <v>649</v>
      </c>
      <c r="D144" s="1"/>
      <c r="E144" s="1"/>
      <c r="F144">
        <v>1</v>
      </c>
      <c r="H144">
        <f>PRODUTOS[[#This Row],[Entrada]]-PRODUTOS[[#This Row],[Salidas]]</f>
        <v>1</v>
      </c>
    </row>
    <row r="145" spans="2:8" x14ac:dyDescent="0.25">
      <c r="B145" t="str">
        <f>_xlfn.CONCAT("Prod-",TEXT(ROW(B145),"0000"))</f>
        <v>Prod-0145</v>
      </c>
      <c r="C145" t="s">
        <v>655</v>
      </c>
      <c r="D145" s="1"/>
      <c r="E145" s="1"/>
      <c r="F145">
        <v>10</v>
      </c>
      <c r="H145">
        <f>PRODUTOS[[#This Row],[Entrada]]-PRODUTOS[[#This Row],[Salidas]]</f>
        <v>10</v>
      </c>
    </row>
    <row r="146" spans="2:8" x14ac:dyDescent="0.25">
      <c r="B146" t="str">
        <f>_xlfn.CONCAT("Prod-",TEXT(ROW(B146),"0000"))</f>
        <v>Prod-0146</v>
      </c>
      <c r="C146" t="s">
        <v>656</v>
      </c>
      <c r="D146" s="1"/>
      <c r="E146" s="1"/>
      <c r="F146">
        <v>11</v>
      </c>
      <c r="H146">
        <f>PRODUTOS[[#This Row],[Entrada]]-PRODUTOS[[#This Row],[Salidas]]</f>
        <v>11</v>
      </c>
    </row>
    <row r="147" spans="2:8" x14ac:dyDescent="0.25">
      <c r="B147" t="str">
        <f>_xlfn.CONCAT("Prod-",TEXT(ROW(B147),"0000"))</f>
        <v>Prod-0147</v>
      </c>
      <c r="C147" t="s">
        <v>47</v>
      </c>
      <c r="D147" s="1"/>
      <c r="E147" s="1"/>
      <c r="F147">
        <v>3</v>
      </c>
      <c r="H147">
        <f>PRODUTOS[[#This Row],[Entrada]]-PRODUTOS[[#This Row],[Salidas]]</f>
        <v>3</v>
      </c>
    </row>
    <row r="148" spans="2:8" x14ac:dyDescent="0.25">
      <c r="B148" t="str">
        <f>_xlfn.CONCAT("Prod-",TEXT(ROW(B148),"0000"))</f>
        <v>Prod-0148</v>
      </c>
      <c r="C148" t="s">
        <v>39</v>
      </c>
      <c r="D148" s="1"/>
      <c r="E148" s="1"/>
      <c r="F148">
        <v>11</v>
      </c>
      <c r="H148">
        <f>PRODUTOS[[#This Row],[Entrada]]-PRODUTOS[[#This Row],[Salidas]]</f>
        <v>11</v>
      </c>
    </row>
    <row r="149" spans="2:8" x14ac:dyDescent="0.25">
      <c r="B149" t="str">
        <f>_xlfn.CONCAT("Prod-",TEXT(ROW(B149),"0000"))</f>
        <v>Prod-0149</v>
      </c>
      <c r="C149" t="s">
        <v>38</v>
      </c>
      <c r="D149" s="1"/>
      <c r="E149" s="1"/>
      <c r="F149">
        <v>3</v>
      </c>
      <c r="H149">
        <f>PRODUTOS[[#This Row],[Entrada]]-PRODUTOS[[#This Row],[Salidas]]</f>
        <v>3</v>
      </c>
    </row>
    <row r="150" spans="2:8" x14ac:dyDescent="0.25">
      <c r="B150" t="str">
        <f>_xlfn.CONCAT("Prod-",TEXT(ROW(B150),"0000"))</f>
        <v>Prod-0150</v>
      </c>
      <c r="C150" t="s">
        <v>556</v>
      </c>
      <c r="D150" s="1"/>
      <c r="E150" s="1"/>
      <c r="F150">
        <v>5</v>
      </c>
      <c r="H150">
        <f>PRODUTOS[[#This Row],[Entrada]]-PRODUTOS[[#This Row],[Salidas]]</f>
        <v>5</v>
      </c>
    </row>
    <row r="151" spans="2:8" x14ac:dyDescent="0.25">
      <c r="B151" t="str">
        <f>_xlfn.CONCAT("Prod-",TEXT(ROW(B151),"0000"))</f>
        <v>Prod-0151</v>
      </c>
      <c r="C151" t="s">
        <v>452</v>
      </c>
      <c r="D151" s="1"/>
      <c r="E151" s="1"/>
      <c r="F151">
        <v>2</v>
      </c>
      <c r="H151">
        <f>PRODUTOS[[#This Row],[Entrada]]-PRODUTOS[[#This Row],[Salidas]]</f>
        <v>2</v>
      </c>
    </row>
    <row r="152" spans="2:8" x14ac:dyDescent="0.25">
      <c r="B152" t="str">
        <f>_xlfn.CONCAT("Prod-",TEXT(ROW(B152),"0000"))</f>
        <v>Prod-0152</v>
      </c>
      <c r="C152" t="s">
        <v>491</v>
      </c>
      <c r="D152" s="1"/>
      <c r="E152" s="1"/>
      <c r="F152">
        <v>5</v>
      </c>
      <c r="H152">
        <f>PRODUTOS[[#This Row],[Entrada]]-PRODUTOS[[#This Row],[Salidas]]</f>
        <v>5</v>
      </c>
    </row>
    <row r="153" spans="2:8" x14ac:dyDescent="0.25">
      <c r="B153" t="str">
        <f>_xlfn.CONCAT("Prod-",TEXT(ROW(B153),"0000"))</f>
        <v>Prod-0153</v>
      </c>
      <c r="C153" t="s">
        <v>492</v>
      </c>
      <c r="D153" s="1"/>
      <c r="E153" s="1"/>
      <c r="F153">
        <v>1</v>
      </c>
      <c r="H153">
        <f>PRODUTOS[[#This Row],[Entrada]]-PRODUTOS[[#This Row],[Salidas]]</f>
        <v>1</v>
      </c>
    </row>
    <row r="154" spans="2:8" x14ac:dyDescent="0.25">
      <c r="B154" t="str">
        <f>_xlfn.CONCAT("Prod-",TEXT(ROW(B154),"0000"))</f>
        <v>Prod-0154</v>
      </c>
      <c r="C154" t="s">
        <v>281</v>
      </c>
      <c r="D154" s="1"/>
      <c r="E154" s="1"/>
      <c r="F154">
        <v>7</v>
      </c>
      <c r="H154">
        <f>PRODUTOS[[#This Row],[Entrada]]-PRODUTOS[[#This Row],[Salidas]]</f>
        <v>7</v>
      </c>
    </row>
    <row r="155" spans="2:8" x14ac:dyDescent="0.25">
      <c r="B155" t="str">
        <f>_xlfn.CONCAT("Prod-",TEXT(ROW(B155),"0000"))</f>
        <v>Prod-0155</v>
      </c>
      <c r="C155" t="s">
        <v>155</v>
      </c>
      <c r="D155" s="1"/>
      <c r="E155" s="1"/>
      <c r="F155">
        <v>5</v>
      </c>
      <c r="H155">
        <f>PRODUTOS[[#This Row],[Entrada]]-PRODUTOS[[#This Row],[Salidas]]</f>
        <v>5</v>
      </c>
    </row>
    <row r="156" spans="2:8" x14ac:dyDescent="0.25">
      <c r="B156" t="str">
        <f>_xlfn.CONCAT("Prod-",TEXT(ROW(B156),"0000"))</f>
        <v>Prod-0156</v>
      </c>
      <c r="C156" t="s">
        <v>284</v>
      </c>
      <c r="D156" s="1"/>
      <c r="E156" s="1"/>
      <c r="F156">
        <v>2</v>
      </c>
      <c r="H156">
        <f>PRODUTOS[[#This Row],[Entrada]]-PRODUTOS[[#This Row],[Salidas]]</f>
        <v>2</v>
      </c>
    </row>
    <row r="157" spans="2:8" x14ac:dyDescent="0.25">
      <c r="B157" t="str">
        <f>_xlfn.CONCAT("Prod-",TEXT(ROW(B157),"0000"))</f>
        <v>Prod-0157</v>
      </c>
      <c r="C157" t="s">
        <v>283</v>
      </c>
      <c r="D157" s="1"/>
      <c r="E157" s="1"/>
      <c r="F157">
        <v>4</v>
      </c>
      <c r="H157">
        <f>PRODUTOS[[#This Row],[Entrada]]-PRODUTOS[[#This Row],[Salidas]]</f>
        <v>4</v>
      </c>
    </row>
    <row r="158" spans="2:8" x14ac:dyDescent="0.25">
      <c r="B158" t="str">
        <f>_xlfn.CONCAT("Prod-",TEXT(ROW(B158),"0000"))</f>
        <v>Prod-0158</v>
      </c>
      <c r="C158" t="s">
        <v>282</v>
      </c>
      <c r="D158" s="1"/>
      <c r="E158" s="1"/>
      <c r="F158">
        <v>2</v>
      </c>
      <c r="H158">
        <f>PRODUTOS[[#This Row],[Entrada]]-PRODUTOS[[#This Row],[Salidas]]</f>
        <v>2</v>
      </c>
    </row>
    <row r="159" spans="2:8" x14ac:dyDescent="0.25">
      <c r="B159" t="str">
        <f>_xlfn.CONCAT("Prod-",TEXT(ROW(B159),"0000"))</f>
        <v>Prod-0159</v>
      </c>
      <c r="C159" t="s">
        <v>483</v>
      </c>
      <c r="D159" s="1"/>
      <c r="E159" s="1"/>
      <c r="F159">
        <v>2</v>
      </c>
      <c r="H159">
        <f>PRODUTOS[[#This Row],[Entrada]]-PRODUTOS[[#This Row],[Salidas]]</f>
        <v>2</v>
      </c>
    </row>
    <row r="160" spans="2:8" x14ac:dyDescent="0.25">
      <c r="B160" t="str">
        <f>_xlfn.CONCAT("Prod-",TEXT(ROW(B160),"0000"))</f>
        <v>Prod-0160</v>
      </c>
      <c r="C160" t="s">
        <v>484</v>
      </c>
      <c r="D160" s="1"/>
      <c r="E160" s="1"/>
      <c r="F160">
        <v>1</v>
      </c>
      <c r="H160">
        <f>PRODUTOS[[#This Row],[Entrada]]-PRODUTOS[[#This Row],[Salidas]]</f>
        <v>1</v>
      </c>
    </row>
    <row r="161" spans="2:8" x14ac:dyDescent="0.25">
      <c r="B161" t="str">
        <f>_xlfn.CONCAT("Prod-",TEXT(ROW(B161),"0000"))</f>
        <v>Prod-0161</v>
      </c>
      <c r="C161" t="s">
        <v>85</v>
      </c>
      <c r="D161" s="1"/>
      <c r="E161" s="1"/>
      <c r="F161">
        <v>2</v>
      </c>
      <c r="H161">
        <f>PRODUTOS[[#This Row],[Entrada]]-PRODUTOS[[#This Row],[Salidas]]</f>
        <v>2</v>
      </c>
    </row>
    <row r="162" spans="2:8" x14ac:dyDescent="0.25">
      <c r="B162" t="str">
        <f>_xlfn.CONCAT("Prod-",TEXT(ROW(B162),"0000"))</f>
        <v>Prod-0162</v>
      </c>
      <c r="C162" t="s">
        <v>73</v>
      </c>
      <c r="D162" s="1"/>
      <c r="E162" s="1"/>
      <c r="F162">
        <v>12</v>
      </c>
      <c r="H162">
        <f>PRODUTOS[[#This Row],[Entrada]]-PRODUTOS[[#This Row],[Salidas]]</f>
        <v>12</v>
      </c>
    </row>
    <row r="163" spans="2:8" x14ac:dyDescent="0.25">
      <c r="B163" t="str">
        <f>_xlfn.CONCAT("Prod-",TEXT(ROW(B163),"0000"))</f>
        <v>Prod-0163</v>
      </c>
      <c r="C163" t="s">
        <v>114</v>
      </c>
      <c r="D163" s="1"/>
      <c r="E163" s="1"/>
      <c r="F163">
        <v>0</v>
      </c>
      <c r="H163">
        <f>PRODUTOS[[#This Row],[Entrada]]-PRODUTOS[[#This Row],[Salidas]]</f>
        <v>0</v>
      </c>
    </row>
    <row r="164" spans="2:8" x14ac:dyDescent="0.25">
      <c r="B164" t="str">
        <f>_xlfn.CONCAT("Prod-",TEXT(ROW(B164),"0000"))</f>
        <v>Prod-0164</v>
      </c>
      <c r="C164" t="s">
        <v>107</v>
      </c>
      <c r="D164" s="1"/>
      <c r="E164" s="1"/>
      <c r="F164">
        <v>2</v>
      </c>
      <c r="H164">
        <f>PRODUTOS[[#This Row],[Entrada]]-PRODUTOS[[#This Row],[Salidas]]</f>
        <v>2</v>
      </c>
    </row>
    <row r="165" spans="2:8" x14ac:dyDescent="0.25">
      <c r="B165" t="str">
        <f>_xlfn.CONCAT("Prod-",TEXT(ROW(B165),"0000"))</f>
        <v>Prod-0165</v>
      </c>
      <c r="C165" t="s">
        <v>104</v>
      </c>
      <c r="D165" s="1"/>
      <c r="E165" s="1"/>
      <c r="F165">
        <v>18</v>
      </c>
      <c r="H165">
        <f>PRODUTOS[[#This Row],[Entrada]]-PRODUTOS[[#This Row],[Salidas]]</f>
        <v>18</v>
      </c>
    </row>
    <row r="166" spans="2:8" x14ac:dyDescent="0.25">
      <c r="B166" t="str">
        <f>_xlfn.CONCAT("Prod-",TEXT(ROW(B166),"0000"))</f>
        <v>Prod-0166</v>
      </c>
      <c r="C166" t="s">
        <v>109</v>
      </c>
      <c r="D166" s="1"/>
      <c r="E166" s="1"/>
      <c r="F166">
        <v>9</v>
      </c>
      <c r="H166">
        <f>PRODUTOS[[#This Row],[Entrada]]-PRODUTOS[[#This Row],[Salidas]]</f>
        <v>9</v>
      </c>
    </row>
    <row r="167" spans="2:8" x14ac:dyDescent="0.25">
      <c r="B167" t="str">
        <f>_xlfn.CONCAT("Prod-",TEXT(ROW(B167),"0000"))</f>
        <v>Prod-0167</v>
      </c>
      <c r="C167" t="s">
        <v>86</v>
      </c>
      <c r="D167" s="1"/>
      <c r="E167" s="1"/>
      <c r="F167">
        <v>45</v>
      </c>
      <c r="H167">
        <f>PRODUTOS[[#This Row],[Entrada]]-PRODUTOS[[#This Row],[Salidas]]</f>
        <v>45</v>
      </c>
    </row>
    <row r="168" spans="2:8" x14ac:dyDescent="0.25">
      <c r="B168" t="str">
        <f>_xlfn.CONCAT("Prod-",TEXT(ROW(B168),"0000"))</f>
        <v>Prod-0168</v>
      </c>
      <c r="C168" t="s">
        <v>52</v>
      </c>
      <c r="D168" s="1">
        <v>0</v>
      </c>
      <c r="E168" s="1">
        <v>0</v>
      </c>
      <c r="F168">
        <v>15</v>
      </c>
      <c r="H168">
        <f>PRODUTOS[[#This Row],[Entrada]]-PRODUTOS[[#This Row],[Salidas]]</f>
        <v>15</v>
      </c>
    </row>
    <row r="169" spans="2:8" x14ac:dyDescent="0.25">
      <c r="B169" t="str">
        <f>_xlfn.CONCAT("Prod-",TEXT(ROW(B169),"0000"))</f>
        <v>Prod-0169</v>
      </c>
      <c r="C169" t="s">
        <v>53</v>
      </c>
      <c r="D169" s="1">
        <v>0</v>
      </c>
      <c r="E169" s="1">
        <v>0</v>
      </c>
      <c r="F169">
        <v>285</v>
      </c>
      <c r="G169">
        <v>0</v>
      </c>
      <c r="H169">
        <f>PRODUTOS[[#This Row],[Entrada]]-PRODUTOS[[#This Row],[Salidas]]</f>
        <v>285</v>
      </c>
    </row>
    <row r="170" spans="2:8" x14ac:dyDescent="0.25">
      <c r="B170" t="str">
        <f>_xlfn.CONCAT("Prod-",TEXT(ROW(B170),"0000"))</f>
        <v>Prod-0170</v>
      </c>
      <c r="C170" t="s">
        <v>45</v>
      </c>
      <c r="D170" s="1"/>
      <c r="E170" s="1"/>
      <c r="F170">
        <v>14</v>
      </c>
      <c r="H170">
        <f>PRODUTOS[[#This Row],[Entrada]]-PRODUTOS[[#This Row],[Salidas]]</f>
        <v>14</v>
      </c>
    </row>
    <row r="171" spans="2:8" x14ac:dyDescent="0.25">
      <c r="B171" t="str">
        <f>_xlfn.CONCAT("Prod-",TEXT(ROW(B171),"0000"))</f>
        <v>Prod-0171</v>
      </c>
      <c r="C171" t="s">
        <v>28</v>
      </c>
      <c r="D171" s="1"/>
      <c r="E171" s="1"/>
      <c r="F171">
        <v>10</v>
      </c>
      <c r="H171">
        <f>PRODUTOS[[#This Row],[Entrada]]-PRODUTOS[[#This Row],[Salidas]]</f>
        <v>10</v>
      </c>
    </row>
    <row r="172" spans="2:8" x14ac:dyDescent="0.25">
      <c r="B172" t="str">
        <f>_xlfn.CONCAT("Prod-",TEXT(ROW(B172),"0000"))</f>
        <v>Prod-0172</v>
      </c>
      <c r="C172" t="s">
        <v>60</v>
      </c>
      <c r="D172" s="1"/>
      <c r="E172" s="1"/>
      <c r="F172">
        <v>2</v>
      </c>
      <c r="H172">
        <f>PRODUTOS[[#This Row],[Entrada]]-PRODUTOS[[#This Row],[Salidas]]</f>
        <v>2</v>
      </c>
    </row>
    <row r="173" spans="2:8" x14ac:dyDescent="0.25">
      <c r="B173" t="str">
        <f>_xlfn.CONCAT("Prod-",TEXT(ROW(B173),"0000"))</f>
        <v>Prod-0173</v>
      </c>
      <c r="C173" t="s">
        <v>117</v>
      </c>
      <c r="D173" s="1"/>
      <c r="E173" s="1"/>
      <c r="F173">
        <v>64</v>
      </c>
      <c r="H173">
        <f>PRODUTOS[[#This Row],[Entrada]]-PRODUTOS[[#This Row],[Salidas]]</f>
        <v>64</v>
      </c>
    </row>
    <row r="174" spans="2:8" x14ac:dyDescent="0.25">
      <c r="B174" t="str">
        <f>_xlfn.CONCAT("Prod-",TEXT(ROW(B174),"0000"))</f>
        <v>Prod-0174</v>
      </c>
      <c r="C174" t="s">
        <v>324</v>
      </c>
      <c r="D174" s="1"/>
      <c r="E174" s="1"/>
      <c r="F174">
        <v>3</v>
      </c>
      <c r="H174">
        <f>PRODUTOS[[#This Row],[Entrada]]-PRODUTOS[[#This Row],[Salidas]]</f>
        <v>3</v>
      </c>
    </row>
    <row r="175" spans="2:8" x14ac:dyDescent="0.25">
      <c r="B175" t="str">
        <f>_xlfn.CONCAT("Prod-",TEXT(ROW(B175),"0000"))</f>
        <v>Prod-0175</v>
      </c>
      <c r="C175" t="s">
        <v>286</v>
      </c>
      <c r="D175" s="1"/>
      <c r="E175" s="1"/>
      <c r="F175">
        <v>32</v>
      </c>
      <c r="H175">
        <f>PRODUTOS[[#This Row],[Entrada]]-PRODUTOS[[#This Row],[Salidas]]</f>
        <v>32</v>
      </c>
    </row>
    <row r="176" spans="2:8" x14ac:dyDescent="0.25">
      <c r="B176" t="str">
        <f>_xlfn.CONCAT("Prod-",TEXT(ROW(B176),"0000"))</f>
        <v>Prod-0176</v>
      </c>
      <c r="C176" t="s">
        <v>285</v>
      </c>
      <c r="D176" s="1">
        <v>0.72372000000000003</v>
      </c>
      <c r="E176" s="1">
        <v>1.1000000000000001</v>
      </c>
      <c r="F176">
        <v>46</v>
      </c>
      <c r="H176">
        <f>PRODUTOS[[#This Row],[Entrada]]-PRODUTOS[[#This Row],[Salidas]]</f>
        <v>46</v>
      </c>
    </row>
    <row r="177" spans="2:8" x14ac:dyDescent="0.25">
      <c r="B177" t="str">
        <f>_xlfn.CONCAT("Prod-",TEXT(ROW(B177),"0000"))</f>
        <v>Prod-0177</v>
      </c>
      <c r="C177" t="s">
        <v>291</v>
      </c>
      <c r="D177" s="1"/>
      <c r="E177" s="1"/>
      <c r="F177">
        <v>11</v>
      </c>
      <c r="H177">
        <f>PRODUTOS[[#This Row],[Entrada]]-PRODUTOS[[#This Row],[Salidas]]</f>
        <v>11</v>
      </c>
    </row>
    <row r="178" spans="2:8" x14ac:dyDescent="0.25">
      <c r="B178" t="str">
        <f>_xlfn.CONCAT("Prod-",TEXT(ROW(B178),"0000"))</f>
        <v>Prod-0178</v>
      </c>
      <c r="C178" t="s">
        <v>292</v>
      </c>
      <c r="D178" s="1"/>
      <c r="E178" s="1"/>
      <c r="F178">
        <v>7</v>
      </c>
      <c r="H178">
        <f>PRODUTOS[[#This Row],[Entrada]]-PRODUTOS[[#This Row],[Salidas]]</f>
        <v>7</v>
      </c>
    </row>
    <row r="179" spans="2:8" x14ac:dyDescent="0.25">
      <c r="B179" t="str">
        <f>_xlfn.CONCAT("Prod-",TEXT(ROW(B179),"0000"))</f>
        <v>Prod-0179</v>
      </c>
      <c r="C179" t="s">
        <v>300</v>
      </c>
      <c r="D179" s="1"/>
      <c r="E179" s="1"/>
      <c r="F179">
        <v>11</v>
      </c>
      <c r="H179">
        <f>PRODUTOS[[#This Row],[Entrada]]-PRODUTOS[[#This Row],[Salidas]]</f>
        <v>11</v>
      </c>
    </row>
    <row r="180" spans="2:8" x14ac:dyDescent="0.25">
      <c r="B180" t="str">
        <f>_xlfn.CONCAT("Prod-",TEXT(ROW(B180),"0000"))</f>
        <v>Prod-0180</v>
      </c>
      <c r="C180" t="s">
        <v>325</v>
      </c>
      <c r="D180" s="1"/>
      <c r="E180" s="1"/>
      <c r="F180">
        <v>1</v>
      </c>
      <c r="H180">
        <f>PRODUTOS[[#This Row],[Entrada]]-PRODUTOS[[#This Row],[Salidas]]</f>
        <v>1</v>
      </c>
    </row>
    <row r="181" spans="2:8" x14ac:dyDescent="0.25">
      <c r="B181" t="str">
        <f>_xlfn.CONCAT("Prod-",TEXT(ROW(B181),"0000"))</f>
        <v>Prod-0181</v>
      </c>
      <c r="C181" t="s">
        <v>326</v>
      </c>
      <c r="D181" s="1"/>
      <c r="E181" s="1"/>
      <c r="F181">
        <v>4</v>
      </c>
      <c r="H181">
        <f>PRODUTOS[[#This Row],[Entrada]]-PRODUTOS[[#This Row],[Salidas]]</f>
        <v>4</v>
      </c>
    </row>
    <row r="182" spans="2:8" x14ac:dyDescent="0.25">
      <c r="B182" t="str">
        <f>_xlfn.CONCAT("Prod-",TEXT(ROW(B182),"0000"))</f>
        <v>Prod-0182</v>
      </c>
      <c r="C182" t="s">
        <v>299</v>
      </c>
      <c r="D182" s="1"/>
      <c r="E182" s="1"/>
      <c r="F182">
        <v>3</v>
      </c>
      <c r="H182">
        <f>PRODUTOS[[#This Row],[Entrada]]-PRODUTOS[[#This Row],[Salidas]]</f>
        <v>3</v>
      </c>
    </row>
    <row r="183" spans="2:8" x14ac:dyDescent="0.25">
      <c r="B183" t="str">
        <f>_xlfn.CONCAT("Prod-",TEXT(ROW(B183),"0000"))</f>
        <v>Prod-0183</v>
      </c>
      <c r="C183" t="s">
        <v>215</v>
      </c>
      <c r="D183" s="1"/>
      <c r="E183" s="1"/>
      <c r="F183">
        <v>1</v>
      </c>
      <c r="H183">
        <f>PRODUTOS[[#This Row],[Entrada]]-PRODUTOS[[#This Row],[Salidas]]</f>
        <v>1</v>
      </c>
    </row>
    <row r="184" spans="2:8" x14ac:dyDescent="0.25">
      <c r="B184" t="str">
        <f>_xlfn.CONCAT("Prod-",TEXT(ROW(B184),"0000"))</f>
        <v>Prod-0184</v>
      </c>
      <c r="C184" t="s">
        <v>214</v>
      </c>
      <c r="D184" s="1"/>
      <c r="E184" s="1"/>
      <c r="F184">
        <v>3</v>
      </c>
      <c r="H184">
        <f>PRODUTOS[[#This Row],[Entrada]]-PRODUTOS[[#This Row],[Salidas]]</f>
        <v>3</v>
      </c>
    </row>
    <row r="185" spans="2:8" x14ac:dyDescent="0.25">
      <c r="B185" t="str">
        <f>_xlfn.CONCAT("Prod-",TEXT(ROW(B185),"0000"))</f>
        <v>Prod-0185</v>
      </c>
      <c r="C185" t="s">
        <v>217</v>
      </c>
      <c r="D185" s="1"/>
      <c r="E185" s="1"/>
      <c r="F185">
        <v>1</v>
      </c>
      <c r="H185">
        <f>PRODUTOS[[#This Row],[Entrada]]-PRODUTOS[[#This Row],[Salidas]]</f>
        <v>1</v>
      </c>
    </row>
    <row r="186" spans="2:8" x14ac:dyDescent="0.25">
      <c r="B186" t="str">
        <f>_xlfn.CONCAT("Prod-",TEXT(ROW(B186),"0000"))</f>
        <v>Prod-0186</v>
      </c>
      <c r="C186" t="s">
        <v>218</v>
      </c>
      <c r="D186" s="1"/>
      <c r="E186" s="1"/>
      <c r="F186">
        <v>3</v>
      </c>
      <c r="H186">
        <f>PRODUTOS[[#This Row],[Entrada]]-PRODUTOS[[#This Row],[Salidas]]</f>
        <v>3</v>
      </c>
    </row>
    <row r="187" spans="2:8" x14ac:dyDescent="0.25">
      <c r="B187" t="str">
        <f>_xlfn.CONCAT("Prod-",TEXT(ROW(B187),"0000"))</f>
        <v>Prod-0187</v>
      </c>
      <c r="C187" t="s">
        <v>216</v>
      </c>
      <c r="D187" s="1"/>
      <c r="E187" s="1"/>
      <c r="F187">
        <v>1</v>
      </c>
      <c r="H187">
        <f>PRODUTOS[[#This Row],[Entrada]]-PRODUTOS[[#This Row],[Salidas]]</f>
        <v>1</v>
      </c>
    </row>
    <row r="188" spans="2:8" x14ac:dyDescent="0.25">
      <c r="B188" t="str">
        <f>_xlfn.CONCAT("Prod-",TEXT(ROW(B188),"0000"))</f>
        <v>Prod-0188</v>
      </c>
      <c r="C188" t="s">
        <v>480</v>
      </c>
      <c r="D188" s="1"/>
      <c r="E188" s="1"/>
      <c r="F188">
        <v>2</v>
      </c>
      <c r="H188">
        <f>PRODUTOS[[#This Row],[Entrada]]-PRODUTOS[[#This Row],[Salidas]]</f>
        <v>2</v>
      </c>
    </row>
    <row r="189" spans="2:8" x14ac:dyDescent="0.25">
      <c r="B189" t="str">
        <f>_xlfn.CONCAT("Prod-",TEXT(ROW(B189),"0000"))</f>
        <v>Prod-0189</v>
      </c>
      <c r="C189" t="s">
        <v>444</v>
      </c>
      <c r="D189" s="1"/>
      <c r="E189" s="1"/>
      <c r="F189">
        <v>7</v>
      </c>
      <c r="H189">
        <f>PRODUTOS[[#This Row],[Entrada]]-PRODUTOS[[#This Row],[Salidas]]</f>
        <v>7</v>
      </c>
    </row>
    <row r="190" spans="2:8" x14ac:dyDescent="0.25">
      <c r="B190" t="str">
        <f>_xlfn.CONCAT("Prod-",TEXT(ROW(B190),"0000"))</f>
        <v>Prod-0190</v>
      </c>
      <c r="C190" t="s">
        <v>443</v>
      </c>
      <c r="D190" s="1"/>
      <c r="E190" s="1"/>
      <c r="F190">
        <v>12</v>
      </c>
      <c r="H190">
        <f>PRODUTOS[[#This Row],[Entrada]]-PRODUTOS[[#This Row],[Salidas]]</f>
        <v>12</v>
      </c>
    </row>
    <row r="191" spans="2:8" x14ac:dyDescent="0.25">
      <c r="B191" t="str">
        <f>_xlfn.CONCAT("Prod-",TEXT(ROW(B191),"0000"))</f>
        <v>Prod-0191</v>
      </c>
      <c r="C191" t="s">
        <v>554</v>
      </c>
      <c r="D191" s="1"/>
      <c r="E191" s="1"/>
      <c r="F191">
        <v>2</v>
      </c>
      <c r="H191">
        <f>PRODUTOS[[#This Row],[Entrada]]-PRODUTOS[[#This Row],[Salidas]]</f>
        <v>2</v>
      </c>
    </row>
    <row r="192" spans="2:8" x14ac:dyDescent="0.25">
      <c r="B192" t="str">
        <f>_xlfn.CONCAT("Prod-",TEXT(ROW(B192),"0000"))</f>
        <v>Prod-0192</v>
      </c>
      <c r="C192" t="s">
        <v>553</v>
      </c>
      <c r="D192" s="1"/>
      <c r="E192" s="1"/>
      <c r="F192">
        <v>1</v>
      </c>
      <c r="H192">
        <f>PRODUTOS[[#This Row],[Entrada]]-PRODUTOS[[#This Row],[Salidas]]</f>
        <v>1</v>
      </c>
    </row>
    <row r="193" spans="2:8" x14ac:dyDescent="0.25">
      <c r="B193" t="str">
        <f>_xlfn.CONCAT("Prod-",TEXT(ROW(B193),"0000"))</f>
        <v>Prod-0193</v>
      </c>
      <c r="C193" t="s">
        <v>67</v>
      </c>
      <c r="D193" s="1"/>
      <c r="E193" s="1"/>
      <c r="F193">
        <v>1</v>
      </c>
      <c r="H193">
        <f>PRODUTOS[[#This Row],[Entrada]]-PRODUTOS[[#This Row],[Salidas]]</f>
        <v>1</v>
      </c>
    </row>
    <row r="194" spans="2:8" x14ac:dyDescent="0.25">
      <c r="B194" t="str">
        <f>_xlfn.CONCAT("Prod-",TEXT(ROW(B194),"0000"))</f>
        <v>Prod-0194</v>
      </c>
      <c r="C194" t="s">
        <v>659</v>
      </c>
      <c r="D194" s="1"/>
      <c r="E194" s="1"/>
      <c r="F194">
        <v>6</v>
      </c>
      <c r="H194">
        <f>PRODUTOS[[#This Row],[Entrada]]-PRODUTOS[[#This Row],[Salidas]]</f>
        <v>6</v>
      </c>
    </row>
    <row r="195" spans="2:8" x14ac:dyDescent="0.25">
      <c r="B195" t="str">
        <f>_xlfn.CONCAT("Prod-",TEXT(ROW(B195),"0000"))</f>
        <v>Prod-0195</v>
      </c>
      <c r="C195" t="s">
        <v>519</v>
      </c>
      <c r="D195" s="1"/>
      <c r="E195" s="1"/>
      <c r="F195">
        <v>2</v>
      </c>
      <c r="H195">
        <f>PRODUTOS[[#This Row],[Entrada]]-PRODUTOS[[#This Row],[Salidas]]</f>
        <v>2</v>
      </c>
    </row>
    <row r="196" spans="2:8" x14ac:dyDescent="0.25">
      <c r="B196" t="str">
        <f>_xlfn.CONCAT("Prod-",TEXT(ROW(B196),"0000"))</f>
        <v>Prod-0196</v>
      </c>
      <c r="C196" t="s">
        <v>489</v>
      </c>
      <c r="D196" s="1"/>
      <c r="E196" s="1"/>
      <c r="F196">
        <v>3</v>
      </c>
      <c r="H196">
        <f>PRODUTOS[[#This Row],[Entrada]]-PRODUTOS[[#This Row],[Salidas]]</f>
        <v>3</v>
      </c>
    </row>
    <row r="197" spans="2:8" x14ac:dyDescent="0.25">
      <c r="B197" t="str">
        <f>_xlfn.CONCAT("Prod-",TEXT(ROW(B197),"0000"))</f>
        <v>Prod-0197</v>
      </c>
      <c r="C197" t="s">
        <v>193</v>
      </c>
      <c r="D197" s="1"/>
      <c r="E197" s="1"/>
      <c r="F197">
        <v>3</v>
      </c>
      <c r="H197">
        <f>PRODUTOS[[#This Row],[Entrada]]-PRODUTOS[[#This Row],[Salidas]]</f>
        <v>3</v>
      </c>
    </row>
    <row r="198" spans="2:8" x14ac:dyDescent="0.25">
      <c r="B198" t="str">
        <f>_xlfn.CONCAT("Prod-",TEXT(ROW(B198),"0000"))</f>
        <v>Prod-0198</v>
      </c>
      <c r="C198" t="s">
        <v>192</v>
      </c>
      <c r="D198" s="1"/>
      <c r="E198" s="1"/>
      <c r="F198">
        <v>2</v>
      </c>
      <c r="H198">
        <f>PRODUTOS[[#This Row],[Entrada]]-PRODUTOS[[#This Row],[Salidas]]</f>
        <v>2</v>
      </c>
    </row>
    <row r="199" spans="2:8" x14ac:dyDescent="0.25">
      <c r="B199" t="str">
        <f>_xlfn.CONCAT("Prod-",TEXT(ROW(B199),"0000"))</f>
        <v>Prod-0199</v>
      </c>
      <c r="C199" t="s">
        <v>547</v>
      </c>
      <c r="D199" s="1"/>
      <c r="E199" s="1"/>
      <c r="F199">
        <v>4</v>
      </c>
      <c r="H199">
        <f>PRODUTOS[[#This Row],[Entrada]]-PRODUTOS[[#This Row],[Salidas]]</f>
        <v>4</v>
      </c>
    </row>
    <row r="200" spans="2:8" x14ac:dyDescent="0.25">
      <c r="B200" t="str">
        <f>_xlfn.CONCAT("Prod-",TEXT(ROW(B200),"0000"))</f>
        <v>Prod-0200</v>
      </c>
      <c r="C200" t="s">
        <v>583</v>
      </c>
      <c r="D200" s="1"/>
      <c r="E200" s="1"/>
      <c r="F200">
        <v>8</v>
      </c>
      <c r="H200">
        <f>PRODUTOS[[#This Row],[Entrada]]-PRODUTOS[[#This Row],[Salidas]]</f>
        <v>8</v>
      </c>
    </row>
    <row r="201" spans="2:8" x14ac:dyDescent="0.25">
      <c r="B201" t="str">
        <f>_xlfn.CONCAT("Prod-",TEXT(ROW(B201),"0000"))</f>
        <v>Prod-0201</v>
      </c>
      <c r="C201" t="s">
        <v>587</v>
      </c>
      <c r="D201" s="1"/>
      <c r="E201" s="1"/>
      <c r="F201">
        <v>12</v>
      </c>
      <c r="H201">
        <f>PRODUTOS[[#This Row],[Entrada]]-PRODUTOS[[#This Row],[Salidas]]</f>
        <v>12</v>
      </c>
    </row>
    <row r="202" spans="2:8" x14ac:dyDescent="0.25">
      <c r="B202" t="str">
        <f>_xlfn.CONCAT("Prod-",TEXT(ROW(B202),"0000"))</f>
        <v>Prod-0202</v>
      </c>
      <c r="C202" t="s">
        <v>584</v>
      </c>
      <c r="D202" s="1"/>
      <c r="E202" s="1"/>
      <c r="F202">
        <v>12</v>
      </c>
      <c r="H202">
        <f>PRODUTOS[[#This Row],[Entrada]]-PRODUTOS[[#This Row],[Salidas]]</f>
        <v>12</v>
      </c>
    </row>
    <row r="203" spans="2:8" x14ac:dyDescent="0.25">
      <c r="B203" t="str">
        <f>_xlfn.CONCAT("Prod-",TEXT(ROW(B203),"0000"))</f>
        <v>Prod-0203</v>
      </c>
      <c r="C203" t="s">
        <v>585</v>
      </c>
      <c r="D203" s="1"/>
      <c r="E203" s="1"/>
      <c r="F203">
        <v>5</v>
      </c>
      <c r="H203">
        <f>PRODUTOS[[#This Row],[Entrada]]-PRODUTOS[[#This Row],[Salidas]]</f>
        <v>5</v>
      </c>
    </row>
    <row r="204" spans="2:8" x14ac:dyDescent="0.25">
      <c r="B204" t="str">
        <f>_xlfn.CONCAT("Prod-",TEXT(ROW(B204),"0000"))</f>
        <v>Prod-0204</v>
      </c>
      <c r="C204" t="s">
        <v>588</v>
      </c>
      <c r="D204" s="1"/>
      <c r="E204" s="1"/>
      <c r="F204">
        <v>11</v>
      </c>
      <c r="H204">
        <f>PRODUTOS[[#This Row],[Entrada]]-PRODUTOS[[#This Row],[Salidas]]</f>
        <v>11</v>
      </c>
    </row>
    <row r="205" spans="2:8" x14ac:dyDescent="0.25">
      <c r="B205" t="str">
        <f>_xlfn.CONCAT("Prod-",TEXT(ROW(B205),"0000"))</f>
        <v>Prod-0205</v>
      </c>
      <c r="C205" t="s">
        <v>591</v>
      </c>
      <c r="D205" s="1"/>
      <c r="E205" s="1"/>
      <c r="F205">
        <v>10</v>
      </c>
      <c r="H205">
        <f>PRODUTOS[[#This Row],[Entrada]]-PRODUTOS[[#This Row],[Salidas]]</f>
        <v>10</v>
      </c>
    </row>
    <row r="206" spans="2:8" x14ac:dyDescent="0.25">
      <c r="B206" t="str">
        <f>_xlfn.CONCAT("Prod-",TEXT(ROW(B206),"0000"))</f>
        <v>Prod-0206</v>
      </c>
      <c r="C206" t="s">
        <v>590</v>
      </c>
      <c r="D206" s="1"/>
      <c r="E206" s="1"/>
      <c r="F206">
        <v>10</v>
      </c>
      <c r="H206">
        <f>PRODUTOS[[#This Row],[Entrada]]-PRODUTOS[[#This Row],[Salidas]]</f>
        <v>10</v>
      </c>
    </row>
    <row r="207" spans="2:8" x14ac:dyDescent="0.25">
      <c r="B207" t="str">
        <f>_xlfn.CONCAT("Prod-",TEXT(ROW(B207),"0000"))</f>
        <v>Prod-0207</v>
      </c>
      <c r="C207" t="s">
        <v>589</v>
      </c>
      <c r="D207" s="1"/>
      <c r="E207" s="1"/>
      <c r="F207">
        <v>9</v>
      </c>
      <c r="H207">
        <f>PRODUTOS[[#This Row],[Entrada]]-PRODUTOS[[#This Row],[Salidas]]</f>
        <v>9</v>
      </c>
    </row>
    <row r="208" spans="2:8" x14ac:dyDescent="0.25">
      <c r="B208" t="str">
        <f>_xlfn.CONCAT("Prod-",TEXT(ROW(B208),"0000"))</f>
        <v>Prod-0208</v>
      </c>
      <c r="C208" t="s">
        <v>586</v>
      </c>
      <c r="D208" s="1"/>
      <c r="E208" s="1"/>
      <c r="F208">
        <v>10</v>
      </c>
      <c r="H208">
        <f>PRODUTOS[[#This Row],[Entrada]]-PRODUTOS[[#This Row],[Salidas]]</f>
        <v>10</v>
      </c>
    </row>
    <row r="209" spans="2:8" x14ac:dyDescent="0.25">
      <c r="B209" t="str">
        <f>_xlfn.CONCAT("Prod-",TEXT(ROW(B209),"0000"))</f>
        <v>Prod-0209</v>
      </c>
      <c r="C209" t="s">
        <v>601</v>
      </c>
      <c r="D209" s="1"/>
      <c r="E209" s="1"/>
      <c r="F209">
        <v>3</v>
      </c>
      <c r="H209">
        <f>PRODUTOS[[#This Row],[Entrada]]-PRODUTOS[[#This Row],[Salidas]]</f>
        <v>3</v>
      </c>
    </row>
    <row r="210" spans="2:8" x14ac:dyDescent="0.25">
      <c r="B210" t="str">
        <f>_xlfn.CONCAT("Prod-",TEXT(ROW(B210),"0000"))</f>
        <v>Prod-0210</v>
      </c>
      <c r="C210" t="s">
        <v>592</v>
      </c>
      <c r="D210" s="1"/>
      <c r="E210" s="1"/>
      <c r="F210">
        <v>11</v>
      </c>
      <c r="H210">
        <f>PRODUTOS[[#This Row],[Entrada]]-PRODUTOS[[#This Row],[Salidas]]</f>
        <v>11</v>
      </c>
    </row>
    <row r="211" spans="2:8" x14ac:dyDescent="0.25">
      <c r="B211" t="str">
        <f>_xlfn.CONCAT("Prod-",TEXT(ROW(B211),"0000"))</f>
        <v>Prod-0211</v>
      </c>
      <c r="C211" t="s">
        <v>595</v>
      </c>
      <c r="D211" s="1"/>
      <c r="E211" s="1"/>
      <c r="F211">
        <v>12</v>
      </c>
      <c r="H211">
        <f>PRODUTOS[[#This Row],[Entrada]]-PRODUTOS[[#This Row],[Salidas]]</f>
        <v>12</v>
      </c>
    </row>
    <row r="212" spans="2:8" x14ac:dyDescent="0.25">
      <c r="B212" t="str">
        <f>_xlfn.CONCAT("Prod-",TEXT(ROW(B212),"0000"))</f>
        <v>Prod-0212</v>
      </c>
      <c r="C212" t="s">
        <v>596</v>
      </c>
      <c r="D212" s="1"/>
      <c r="E212" s="1"/>
      <c r="F212">
        <v>12</v>
      </c>
      <c r="H212">
        <f>PRODUTOS[[#This Row],[Entrada]]-PRODUTOS[[#This Row],[Salidas]]</f>
        <v>12</v>
      </c>
    </row>
    <row r="213" spans="2:8" x14ac:dyDescent="0.25">
      <c r="B213" t="str">
        <f>_xlfn.CONCAT("Prod-",TEXT(ROW(B213),"0000"))</f>
        <v>Prod-0213</v>
      </c>
      <c r="C213" t="s">
        <v>598</v>
      </c>
      <c r="D213" s="1"/>
      <c r="E213" s="1"/>
      <c r="F213">
        <v>11</v>
      </c>
      <c r="H213">
        <f>PRODUTOS[[#This Row],[Entrada]]-PRODUTOS[[#This Row],[Salidas]]</f>
        <v>11</v>
      </c>
    </row>
    <row r="214" spans="2:8" x14ac:dyDescent="0.25">
      <c r="B214" t="str">
        <f>_xlfn.CONCAT("Prod-",TEXT(ROW(B214),"0000"))</f>
        <v>Prod-0214</v>
      </c>
      <c r="C214" t="s">
        <v>597</v>
      </c>
      <c r="D214" s="1"/>
      <c r="E214" s="1"/>
      <c r="F214">
        <v>11</v>
      </c>
      <c r="H214">
        <f>PRODUTOS[[#This Row],[Entrada]]-PRODUTOS[[#This Row],[Salidas]]</f>
        <v>11</v>
      </c>
    </row>
    <row r="215" spans="2:8" x14ac:dyDescent="0.25">
      <c r="B215" t="str">
        <f>_xlfn.CONCAT("Prod-",TEXT(ROW(B215),"0000"))</f>
        <v>Prod-0215</v>
      </c>
      <c r="C215" t="s">
        <v>593</v>
      </c>
      <c r="D215" s="1"/>
      <c r="E215" s="1"/>
      <c r="F215">
        <v>10</v>
      </c>
      <c r="H215">
        <f>PRODUTOS[[#This Row],[Entrada]]-PRODUTOS[[#This Row],[Salidas]]</f>
        <v>10</v>
      </c>
    </row>
    <row r="216" spans="2:8" x14ac:dyDescent="0.25">
      <c r="B216" t="str">
        <f>_xlfn.CONCAT("Prod-",TEXT(ROW(B216),"0000"))</f>
        <v>Prod-0216</v>
      </c>
      <c r="C216" t="s">
        <v>594</v>
      </c>
      <c r="D216" s="1"/>
      <c r="E216" s="1"/>
      <c r="F216">
        <v>12</v>
      </c>
      <c r="H216">
        <f>PRODUTOS[[#This Row],[Entrada]]-PRODUTOS[[#This Row],[Salidas]]</f>
        <v>12</v>
      </c>
    </row>
    <row r="217" spans="2:8" x14ac:dyDescent="0.25">
      <c r="B217" t="str">
        <f>_xlfn.CONCAT("Prod-",TEXT(ROW(B217),"0000"))</f>
        <v>Prod-0217</v>
      </c>
      <c r="C217" t="s">
        <v>600</v>
      </c>
      <c r="D217" s="1"/>
      <c r="E217" s="1"/>
      <c r="F217">
        <v>12</v>
      </c>
      <c r="H217">
        <f>PRODUTOS[[#This Row],[Entrada]]-PRODUTOS[[#This Row],[Salidas]]</f>
        <v>12</v>
      </c>
    </row>
    <row r="218" spans="2:8" x14ac:dyDescent="0.25">
      <c r="B218" t="str">
        <f>_xlfn.CONCAT("Prod-",TEXT(ROW(B218),"0000"))</f>
        <v>Prod-0218</v>
      </c>
      <c r="C218" t="s">
        <v>599</v>
      </c>
      <c r="D218" s="1"/>
      <c r="E218" s="1"/>
      <c r="F218">
        <v>10</v>
      </c>
      <c r="H218">
        <f>PRODUTOS[[#This Row],[Entrada]]-PRODUTOS[[#This Row],[Salidas]]</f>
        <v>10</v>
      </c>
    </row>
    <row r="219" spans="2:8" x14ac:dyDescent="0.25">
      <c r="B219" t="str">
        <f>_xlfn.CONCAT("Prod-",TEXT(ROW(B219),"0000"))</f>
        <v>Prod-0219</v>
      </c>
      <c r="C219" t="s">
        <v>227</v>
      </c>
      <c r="D219" s="1"/>
      <c r="E219" s="1"/>
      <c r="F219">
        <v>4</v>
      </c>
      <c r="H219">
        <f>PRODUTOS[[#This Row],[Entrada]]-PRODUTOS[[#This Row],[Salidas]]</f>
        <v>4</v>
      </c>
    </row>
    <row r="220" spans="2:8" x14ac:dyDescent="0.25">
      <c r="B220" t="str">
        <f>_xlfn.CONCAT("Prod-",TEXT(ROW(B220),"0000"))</f>
        <v>Prod-0220</v>
      </c>
      <c r="C220" t="s">
        <v>226</v>
      </c>
      <c r="D220" s="1"/>
      <c r="E220" s="1"/>
      <c r="F220">
        <v>7</v>
      </c>
      <c r="H220">
        <f>PRODUTOS[[#This Row],[Entrada]]-PRODUTOS[[#This Row],[Salidas]]</f>
        <v>7</v>
      </c>
    </row>
    <row r="221" spans="2:8" x14ac:dyDescent="0.25">
      <c r="B221" t="str">
        <f>_xlfn.CONCAT("Prod-",TEXT(ROW(B221),"0000"))</f>
        <v>Prod-0221</v>
      </c>
      <c r="C221" t="s">
        <v>220</v>
      </c>
      <c r="D221" s="1"/>
      <c r="E221" s="1"/>
      <c r="F221">
        <v>6</v>
      </c>
      <c r="H221">
        <f>PRODUTOS[[#This Row],[Entrada]]-PRODUTOS[[#This Row],[Salidas]]</f>
        <v>6</v>
      </c>
    </row>
    <row r="222" spans="2:8" x14ac:dyDescent="0.25">
      <c r="B222" t="str">
        <f>_xlfn.CONCAT("Prod-",TEXT(ROW(B222),"0000"))</f>
        <v>Prod-0222</v>
      </c>
      <c r="C222" t="s">
        <v>228</v>
      </c>
      <c r="D222" s="1"/>
      <c r="E222" s="1"/>
      <c r="F222">
        <v>3</v>
      </c>
      <c r="H222">
        <f>PRODUTOS[[#This Row],[Entrada]]-PRODUTOS[[#This Row],[Salidas]]</f>
        <v>3</v>
      </c>
    </row>
    <row r="223" spans="2:8" x14ac:dyDescent="0.25">
      <c r="B223" t="str">
        <f>_xlfn.CONCAT("Prod-",TEXT(ROW(B223),"0000"))</f>
        <v>Prod-0223</v>
      </c>
      <c r="C223" t="s">
        <v>221</v>
      </c>
      <c r="D223" s="1"/>
      <c r="E223" s="1"/>
      <c r="F223">
        <v>2</v>
      </c>
      <c r="H223">
        <f>PRODUTOS[[#This Row],[Entrada]]-PRODUTOS[[#This Row],[Salidas]]</f>
        <v>2</v>
      </c>
    </row>
    <row r="224" spans="2:8" x14ac:dyDescent="0.25">
      <c r="B224" t="str">
        <f>_xlfn.CONCAT("Prod-",TEXT(ROW(B224),"0000"))</f>
        <v>Prod-0224</v>
      </c>
      <c r="C224" t="s">
        <v>229</v>
      </c>
      <c r="D224" s="1"/>
      <c r="E224" s="1"/>
      <c r="F224">
        <v>1</v>
      </c>
      <c r="H224">
        <f>PRODUTOS[[#This Row],[Entrada]]-PRODUTOS[[#This Row],[Salidas]]</f>
        <v>1</v>
      </c>
    </row>
    <row r="225" spans="2:8" x14ac:dyDescent="0.25">
      <c r="B225" t="str">
        <f>_xlfn.CONCAT("Prod-",TEXT(ROW(B225),"0000"))</f>
        <v>Prod-0225</v>
      </c>
      <c r="C225" t="s">
        <v>222</v>
      </c>
      <c r="D225" s="1"/>
      <c r="E225" s="1"/>
      <c r="F225">
        <v>3</v>
      </c>
      <c r="H225">
        <f>PRODUTOS[[#This Row],[Entrada]]-PRODUTOS[[#This Row],[Salidas]]</f>
        <v>3</v>
      </c>
    </row>
    <row r="226" spans="2:8" x14ac:dyDescent="0.25">
      <c r="B226" t="str">
        <f>_xlfn.CONCAT("Prod-",TEXT(ROW(B226),"0000"))</f>
        <v>Prod-0226</v>
      </c>
      <c r="C226" t="s">
        <v>224</v>
      </c>
      <c r="D226" s="1"/>
      <c r="E226" s="1"/>
      <c r="F226">
        <v>11</v>
      </c>
      <c r="H226">
        <f>PRODUTOS[[#This Row],[Entrada]]-PRODUTOS[[#This Row],[Salidas]]</f>
        <v>11</v>
      </c>
    </row>
    <row r="227" spans="2:8" x14ac:dyDescent="0.25">
      <c r="B227" t="str">
        <f>_xlfn.CONCAT("Prod-",TEXT(ROW(B227),"0000"))</f>
        <v>Prod-0227</v>
      </c>
      <c r="C227" t="s">
        <v>225</v>
      </c>
      <c r="D227" s="1"/>
      <c r="E227" s="1"/>
      <c r="F227">
        <v>6</v>
      </c>
      <c r="H227">
        <f>PRODUTOS[[#This Row],[Entrada]]-PRODUTOS[[#This Row],[Salidas]]</f>
        <v>6</v>
      </c>
    </row>
    <row r="228" spans="2:8" x14ac:dyDescent="0.25">
      <c r="B228" t="str">
        <f>_xlfn.CONCAT("Prod-",TEXT(ROW(B228),"0000"))</f>
        <v>Prod-0228</v>
      </c>
      <c r="C228" t="s">
        <v>223</v>
      </c>
      <c r="D228" s="1"/>
      <c r="E228" s="1"/>
      <c r="F228">
        <v>6</v>
      </c>
      <c r="H228">
        <f>PRODUTOS[[#This Row],[Entrada]]-PRODUTOS[[#This Row],[Salidas]]</f>
        <v>6</v>
      </c>
    </row>
    <row r="229" spans="2:8" x14ac:dyDescent="0.25">
      <c r="B229" t="str">
        <f>_xlfn.CONCAT("Prod-",TEXT(ROW(B229),"0000"))</f>
        <v>Prod-0229</v>
      </c>
      <c r="C229" t="s">
        <v>233</v>
      </c>
      <c r="D229" s="1"/>
      <c r="E229" s="1"/>
      <c r="F229">
        <v>10</v>
      </c>
      <c r="H229">
        <f>PRODUTOS[[#This Row],[Entrada]]-PRODUTOS[[#This Row],[Salidas]]</f>
        <v>10</v>
      </c>
    </row>
    <row r="230" spans="2:8" x14ac:dyDescent="0.25">
      <c r="B230" t="str">
        <f>_xlfn.CONCAT("Prod-",TEXT(ROW(B230),"0000"))</f>
        <v>Prod-0230</v>
      </c>
      <c r="C230" t="s">
        <v>237</v>
      </c>
      <c r="D230" s="1"/>
      <c r="E230" s="1"/>
      <c r="F230">
        <v>2</v>
      </c>
      <c r="H230">
        <f>PRODUTOS[[#This Row],[Entrada]]-PRODUTOS[[#This Row],[Salidas]]</f>
        <v>2</v>
      </c>
    </row>
    <row r="231" spans="2:8" x14ac:dyDescent="0.25">
      <c r="B231" t="str">
        <f>_xlfn.CONCAT("Prod-",TEXT(ROW(B231),"0000"))</f>
        <v>Prod-0231</v>
      </c>
      <c r="C231" t="s">
        <v>235</v>
      </c>
      <c r="D231" s="1"/>
      <c r="E231" s="1"/>
      <c r="F231">
        <v>2</v>
      </c>
      <c r="H231">
        <f>PRODUTOS[[#This Row],[Entrada]]-PRODUTOS[[#This Row],[Salidas]]</f>
        <v>2</v>
      </c>
    </row>
    <row r="232" spans="2:8" x14ac:dyDescent="0.25">
      <c r="B232" t="str">
        <f>_xlfn.CONCAT("Prod-",TEXT(ROW(B232),"0000"))</f>
        <v>Prod-0232</v>
      </c>
      <c r="C232" t="s">
        <v>232</v>
      </c>
      <c r="D232" s="1"/>
      <c r="E232" s="1"/>
      <c r="F232">
        <v>7</v>
      </c>
      <c r="H232">
        <f>PRODUTOS[[#This Row],[Entrada]]-PRODUTOS[[#This Row],[Salidas]]</f>
        <v>7</v>
      </c>
    </row>
    <row r="233" spans="2:8" x14ac:dyDescent="0.25">
      <c r="B233" t="str">
        <f>_xlfn.CONCAT("Prod-",TEXT(ROW(B233),"0000"))</f>
        <v>Prod-0233</v>
      </c>
      <c r="C233" t="s">
        <v>230</v>
      </c>
      <c r="D233" s="1"/>
      <c r="E233" s="1"/>
      <c r="F233">
        <v>6</v>
      </c>
      <c r="H233">
        <f>PRODUTOS[[#This Row],[Entrada]]-PRODUTOS[[#This Row],[Salidas]]</f>
        <v>6</v>
      </c>
    </row>
    <row r="234" spans="2:8" x14ac:dyDescent="0.25">
      <c r="B234" t="str">
        <f>_xlfn.CONCAT("Prod-",TEXT(ROW(B234),"0000"))</f>
        <v>Prod-0234</v>
      </c>
      <c r="C234" t="s">
        <v>234</v>
      </c>
      <c r="D234" s="1"/>
      <c r="E234" s="1"/>
      <c r="F234">
        <v>2</v>
      </c>
      <c r="H234">
        <f>PRODUTOS[[#This Row],[Entrada]]-PRODUTOS[[#This Row],[Salidas]]</f>
        <v>2</v>
      </c>
    </row>
    <row r="235" spans="2:8" x14ac:dyDescent="0.25">
      <c r="B235" t="str">
        <f>_xlfn.CONCAT("Prod-",TEXT(ROW(B235),"0000"))</f>
        <v>Prod-0235</v>
      </c>
      <c r="C235" t="s">
        <v>231</v>
      </c>
      <c r="D235" s="1"/>
      <c r="E235" s="1"/>
      <c r="F235">
        <v>1</v>
      </c>
      <c r="H235">
        <f>PRODUTOS[[#This Row],[Entrada]]-PRODUTOS[[#This Row],[Salidas]]</f>
        <v>1</v>
      </c>
    </row>
    <row r="236" spans="2:8" x14ac:dyDescent="0.25">
      <c r="B236" t="str">
        <f>_xlfn.CONCAT("Prod-",TEXT(ROW(B236),"0000"))</f>
        <v>Prod-0236</v>
      </c>
      <c r="C236" t="s">
        <v>219</v>
      </c>
      <c r="D236" s="1"/>
      <c r="E236" s="1"/>
      <c r="F236">
        <v>1</v>
      </c>
      <c r="H236">
        <f>PRODUTOS[[#This Row],[Entrada]]-PRODUTOS[[#This Row],[Salidas]]</f>
        <v>1</v>
      </c>
    </row>
    <row r="237" spans="2:8" x14ac:dyDescent="0.25">
      <c r="B237" t="str">
        <f>_xlfn.CONCAT("Prod-",TEXT(ROW(B237),"0000"))</f>
        <v>Prod-0237</v>
      </c>
      <c r="C237" t="s">
        <v>502</v>
      </c>
      <c r="D237" s="1"/>
      <c r="E237" s="1"/>
      <c r="F237">
        <v>3</v>
      </c>
      <c r="H237">
        <f>PRODUTOS[[#This Row],[Entrada]]-PRODUTOS[[#This Row],[Salidas]]</f>
        <v>3</v>
      </c>
    </row>
    <row r="238" spans="2:8" x14ac:dyDescent="0.25">
      <c r="B238" t="str">
        <f>_xlfn.CONCAT("Prod-",TEXT(ROW(B238),"0000"))</f>
        <v>Prod-0238</v>
      </c>
      <c r="C238" t="s">
        <v>503</v>
      </c>
      <c r="D238" s="1"/>
      <c r="E238" s="1"/>
      <c r="F238">
        <v>1</v>
      </c>
      <c r="H238">
        <f>PRODUTOS[[#This Row],[Entrada]]-PRODUTOS[[#This Row],[Salidas]]</f>
        <v>1</v>
      </c>
    </row>
    <row r="239" spans="2:8" x14ac:dyDescent="0.25">
      <c r="B239" t="str">
        <f>_xlfn.CONCAT("Prod-",TEXT(ROW(B239),"0000"))</f>
        <v>Prod-0239</v>
      </c>
      <c r="C239" t="s">
        <v>362</v>
      </c>
      <c r="D239" s="1">
        <v>8.7226800000000004</v>
      </c>
      <c r="E239" s="1">
        <v>11</v>
      </c>
      <c r="F239">
        <v>7</v>
      </c>
      <c r="H239">
        <f>PRODUTOS[[#This Row],[Entrada]]-PRODUTOS[[#This Row],[Salidas]]</f>
        <v>7</v>
      </c>
    </row>
    <row r="240" spans="2:8" x14ac:dyDescent="0.25">
      <c r="B240" t="str">
        <f>_xlfn.CONCAT("Prod-",TEXT(ROW(B240),"0000"))</f>
        <v>Prod-0240</v>
      </c>
      <c r="C240" t="s">
        <v>365</v>
      </c>
      <c r="D240" s="1"/>
      <c r="E240" s="1"/>
      <c r="F240">
        <v>6</v>
      </c>
      <c r="H240">
        <f>PRODUTOS[[#This Row],[Entrada]]-PRODUTOS[[#This Row],[Salidas]]</f>
        <v>6</v>
      </c>
    </row>
    <row r="241" spans="2:8" x14ac:dyDescent="0.25">
      <c r="B241" t="str">
        <f>_xlfn.CONCAT("Prod-",TEXT(ROW(B241),"0000"))</f>
        <v>Prod-0241</v>
      </c>
      <c r="C241" t="s">
        <v>134</v>
      </c>
      <c r="D241" s="1"/>
      <c r="E241" s="1"/>
      <c r="F241">
        <v>3</v>
      </c>
      <c r="H241">
        <f>PRODUTOS[[#This Row],[Entrada]]-PRODUTOS[[#This Row],[Salidas]]</f>
        <v>3</v>
      </c>
    </row>
    <row r="242" spans="2:8" x14ac:dyDescent="0.25">
      <c r="B242" t="str">
        <f>_xlfn.CONCAT("Prod-",TEXT(ROW(B242),"0000"))</f>
        <v>Prod-0242</v>
      </c>
      <c r="C242" t="s">
        <v>133</v>
      </c>
      <c r="D242" s="1"/>
      <c r="E242" s="1"/>
      <c r="F242">
        <v>6</v>
      </c>
      <c r="H242">
        <f>PRODUTOS[[#This Row],[Entrada]]-PRODUTOS[[#This Row],[Salidas]]</f>
        <v>6</v>
      </c>
    </row>
    <row r="243" spans="2:8" x14ac:dyDescent="0.25">
      <c r="B243" t="str">
        <f>_xlfn.CONCAT("Prod-",TEXT(ROW(B243),"0000"))</f>
        <v>Prod-0243</v>
      </c>
      <c r="C243" t="s">
        <v>355</v>
      </c>
      <c r="D243" s="1"/>
      <c r="E243" s="1"/>
      <c r="F243">
        <v>4</v>
      </c>
      <c r="H243">
        <f>PRODUTOS[[#This Row],[Entrada]]-PRODUTOS[[#This Row],[Salidas]]</f>
        <v>4</v>
      </c>
    </row>
    <row r="244" spans="2:8" x14ac:dyDescent="0.25">
      <c r="B244" t="str">
        <f>_xlfn.CONCAT("Prod-",TEXT(ROW(B244),"0000"))</f>
        <v>Prod-0244</v>
      </c>
      <c r="C244" t="s">
        <v>660</v>
      </c>
      <c r="D244" s="1">
        <v>12.0222</v>
      </c>
      <c r="E244" s="1">
        <v>13.8</v>
      </c>
      <c r="F244">
        <v>6</v>
      </c>
      <c r="H244">
        <f>PRODUTOS[[#This Row],[Entrada]]-PRODUTOS[[#This Row],[Salidas]]</f>
        <v>6</v>
      </c>
    </row>
    <row r="245" spans="2:8" x14ac:dyDescent="0.25">
      <c r="B245" t="str">
        <f>_xlfn.CONCAT("Prod-",TEXT(ROW(B245),"0000"))</f>
        <v>Prod-0245</v>
      </c>
      <c r="C245" t="s">
        <v>383</v>
      </c>
      <c r="D245" s="1"/>
      <c r="E245" s="1"/>
      <c r="F245">
        <v>6</v>
      </c>
      <c r="H245">
        <f>PRODUTOS[[#This Row],[Entrada]]-PRODUTOS[[#This Row],[Salidas]]</f>
        <v>6</v>
      </c>
    </row>
    <row r="246" spans="2:8" x14ac:dyDescent="0.25">
      <c r="B246" t="str">
        <f>_xlfn.CONCAT("Prod-",TEXT(ROW(B246),"0000"))</f>
        <v>Prod-0246</v>
      </c>
      <c r="C246" t="s">
        <v>126</v>
      </c>
      <c r="D246" s="1"/>
      <c r="E246" s="1"/>
      <c r="F246">
        <v>4</v>
      </c>
      <c r="H246">
        <f>PRODUTOS[[#This Row],[Entrada]]-PRODUTOS[[#This Row],[Salidas]]</f>
        <v>4</v>
      </c>
    </row>
    <row r="247" spans="2:8" x14ac:dyDescent="0.25">
      <c r="B247" t="str">
        <f>_xlfn.CONCAT("Prod-",TEXT(ROW(B247),"0000"))</f>
        <v>Prod-0247</v>
      </c>
      <c r="C247" t="s">
        <v>387</v>
      </c>
      <c r="D247" s="1"/>
      <c r="E247" s="1"/>
      <c r="F247">
        <v>5</v>
      </c>
      <c r="H247">
        <f>PRODUTOS[[#This Row],[Entrada]]-PRODUTOS[[#This Row],[Salidas]]</f>
        <v>5</v>
      </c>
    </row>
    <row r="248" spans="2:8" x14ac:dyDescent="0.25">
      <c r="B248" t="str">
        <f>_xlfn.CONCAT("Prod-",TEXT(ROW(B248),"0000"))</f>
        <v>Prod-0248</v>
      </c>
      <c r="C248" t="s">
        <v>390</v>
      </c>
      <c r="D248" s="1"/>
      <c r="E248" s="1"/>
      <c r="F248">
        <v>5</v>
      </c>
      <c r="H248">
        <f>PRODUTOS[[#This Row],[Entrada]]-PRODUTOS[[#This Row],[Salidas]]</f>
        <v>5</v>
      </c>
    </row>
    <row r="249" spans="2:8" x14ac:dyDescent="0.25">
      <c r="B249" t="str">
        <f>_xlfn.CONCAT("Prod-",TEXT(ROW(B249),"0000"))</f>
        <v>Prod-0249</v>
      </c>
      <c r="C249" t="s">
        <v>388</v>
      </c>
      <c r="D249" s="1"/>
      <c r="E249" s="1"/>
      <c r="F249">
        <v>4</v>
      </c>
      <c r="H249">
        <f>PRODUTOS[[#This Row],[Entrada]]-PRODUTOS[[#This Row],[Salidas]]</f>
        <v>4</v>
      </c>
    </row>
    <row r="250" spans="2:8" x14ac:dyDescent="0.25">
      <c r="B250" t="str">
        <f>_xlfn.CONCAT("Prod-",TEXT(ROW(B250),"0000"))</f>
        <v>Prod-0250</v>
      </c>
      <c r="C250" t="s">
        <v>389</v>
      </c>
      <c r="D250" s="1"/>
      <c r="E250" s="1"/>
      <c r="F250">
        <v>1</v>
      </c>
      <c r="H250">
        <f>PRODUTOS[[#This Row],[Entrada]]-PRODUTOS[[#This Row],[Salidas]]</f>
        <v>1</v>
      </c>
    </row>
    <row r="251" spans="2:8" x14ac:dyDescent="0.25">
      <c r="B251" t="str">
        <f>_xlfn.CONCAT("Prod-",TEXT(ROW(B251),"0000"))</f>
        <v>Prod-0251</v>
      </c>
      <c r="C251" t="s">
        <v>162</v>
      </c>
      <c r="D251" s="1"/>
      <c r="E251" s="1"/>
      <c r="F251">
        <v>4</v>
      </c>
      <c r="H251">
        <f>PRODUTOS[[#This Row],[Entrada]]-PRODUTOS[[#This Row],[Salidas]]</f>
        <v>4</v>
      </c>
    </row>
    <row r="252" spans="2:8" x14ac:dyDescent="0.25">
      <c r="B252" t="str">
        <f>_xlfn.CONCAT("Prod-",TEXT(ROW(B252),"0000"))</f>
        <v>Prod-0252</v>
      </c>
      <c r="C252" t="s">
        <v>354</v>
      </c>
      <c r="D252" s="1"/>
      <c r="E252" s="1"/>
      <c r="F252">
        <v>1</v>
      </c>
      <c r="H252">
        <f>PRODUTOS[[#This Row],[Entrada]]-PRODUTOS[[#This Row],[Salidas]]</f>
        <v>1</v>
      </c>
    </row>
    <row r="253" spans="2:8" x14ac:dyDescent="0.25">
      <c r="B253" t="str">
        <f>_xlfn.CONCAT("Prod-",TEXT(ROW(B253),"0000"))</f>
        <v>Prod-0253</v>
      </c>
      <c r="C253" t="s">
        <v>163</v>
      </c>
      <c r="D253" s="1"/>
      <c r="E253" s="1"/>
      <c r="F253">
        <v>1</v>
      </c>
      <c r="H253">
        <f>PRODUTOS[[#This Row],[Entrada]]-PRODUTOS[[#This Row],[Salidas]]</f>
        <v>1</v>
      </c>
    </row>
    <row r="254" spans="2:8" x14ac:dyDescent="0.25">
      <c r="B254" t="str">
        <f>_xlfn.CONCAT("Prod-",TEXT(ROW(B254),"0000"))</f>
        <v>Prod-0254</v>
      </c>
      <c r="C254" t="s">
        <v>189</v>
      </c>
      <c r="D254" s="1"/>
      <c r="E254" s="1"/>
      <c r="F254">
        <v>2</v>
      </c>
      <c r="H254">
        <f>PRODUTOS[[#This Row],[Entrada]]-PRODUTOS[[#This Row],[Salidas]]</f>
        <v>2</v>
      </c>
    </row>
    <row r="255" spans="2:8" x14ac:dyDescent="0.25">
      <c r="B255" t="str">
        <f>_xlfn.CONCAT("Prod-",TEXT(ROW(B255),"0000"))</f>
        <v>Prod-0255</v>
      </c>
      <c r="C255" t="s">
        <v>195</v>
      </c>
      <c r="D255" s="1"/>
      <c r="E255" s="1"/>
      <c r="F255">
        <v>8</v>
      </c>
      <c r="H255">
        <f>PRODUTOS[[#This Row],[Entrada]]-PRODUTOS[[#This Row],[Salidas]]</f>
        <v>8</v>
      </c>
    </row>
    <row r="256" spans="2:8" x14ac:dyDescent="0.25">
      <c r="B256" t="str">
        <f>_xlfn.CONCAT("Prod-",TEXT(ROW(B256),"0000"))</f>
        <v>Prod-0256</v>
      </c>
      <c r="C256" t="s">
        <v>135</v>
      </c>
      <c r="D256" s="1"/>
      <c r="E256" s="1"/>
      <c r="F256">
        <v>4</v>
      </c>
      <c r="H256">
        <f>PRODUTOS[[#This Row],[Entrada]]-PRODUTOS[[#This Row],[Salidas]]</f>
        <v>4</v>
      </c>
    </row>
    <row r="257" spans="2:8" x14ac:dyDescent="0.25">
      <c r="B257" t="str">
        <f>_xlfn.CONCAT("Prod-",TEXT(ROW(B257),"0000"))</f>
        <v>Prod-0257</v>
      </c>
      <c r="C257" t="s">
        <v>363</v>
      </c>
      <c r="D257" s="1"/>
      <c r="E257" s="1"/>
      <c r="F257">
        <v>7</v>
      </c>
      <c r="H257">
        <f>PRODUTOS[[#This Row],[Entrada]]-PRODUTOS[[#This Row],[Salidas]]</f>
        <v>7</v>
      </c>
    </row>
    <row r="258" spans="2:8" x14ac:dyDescent="0.25">
      <c r="B258" t="str">
        <f>_xlfn.CONCAT("Prod-",TEXT(ROW(B258),"0000"))</f>
        <v>Prod-0258</v>
      </c>
      <c r="C258" t="s">
        <v>368</v>
      </c>
      <c r="D258" s="1"/>
      <c r="E258" s="1"/>
      <c r="F258">
        <v>2</v>
      </c>
      <c r="H258">
        <f>PRODUTOS[[#This Row],[Entrada]]-PRODUTOS[[#This Row],[Salidas]]</f>
        <v>2</v>
      </c>
    </row>
    <row r="259" spans="2:8" x14ac:dyDescent="0.25">
      <c r="B259" t="str">
        <f>_xlfn.CONCAT("Prod-",TEXT(ROW(B259),"0000"))</f>
        <v>Prod-0259</v>
      </c>
      <c r="C259" t="s">
        <v>582</v>
      </c>
      <c r="D259" s="1"/>
      <c r="E259" s="1"/>
      <c r="F259">
        <v>6</v>
      </c>
      <c r="H259">
        <f>PRODUTOS[[#This Row],[Entrada]]-PRODUTOS[[#This Row],[Salidas]]</f>
        <v>6</v>
      </c>
    </row>
    <row r="260" spans="2:8" x14ac:dyDescent="0.25">
      <c r="B260" t="str">
        <f>_xlfn.CONCAT("Prod-",TEXT(ROW(B260),"0000"))</f>
        <v>Prod-0260</v>
      </c>
      <c r="C260" t="s">
        <v>657</v>
      </c>
      <c r="D260" s="1"/>
      <c r="E260" s="1"/>
      <c r="F260">
        <v>7</v>
      </c>
      <c r="H260">
        <f>PRODUTOS[[#This Row],[Entrada]]-PRODUTOS[[#This Row],[Salidas]]</f>
        <v>7</v>
      </c>
    </row>
    <row r="261" spans="2:8" x14ac:dyDescent="0.25">
      <c r="B261" t="str">
        <f>_xlfn.CONCAT("Prod-",TEXT(ROW(B261),"0000"))</f>
        <v>Prod-0261</v>
      </c>
      <c r="C261" t="s">
        <v>658</v>
      </c>
      <c r="D261" s="1"/>
      <c r="E261" s="1"/>
      <c r="F261">
        <v>300</v>
      </c>
      <c r="H261">
        <f>PRODUTOS[[#This Row],[Entrada]]-PRODUTOS[[#This Row],[Salidas]]</f>
        <v>300</v>
      </c>
    </row>
    <row r="262" spans="2:8" x14ac:dyDescent="0.25">
      <c r="B262" t="str">
        <f>_xlfn.CONCAT("Prod-",TEXT(ROW(B262),"0000"))</f>
        <v>Prod-0262</v>
      </c>
      <c r="C262" t="s">
        <v>473</v>
      </c>
      <c r="D262" s="1"/>
      <c r="E262" s="1"/>
      <c r="F262">
        <v>16</v>
      </c>
      <c r="H262">
        <f>PRODUTOS[[#This Row],[Entrada]]-PRODUTOS[[#This Row],[Salidas]]</f>
        <v>16</v>
      </c>
    </row>
    <row r="263" spans="2:8" x14ac:dyDescent="0.25">
      <c r="B263" t="str">
        <f>_xlfn.CONCAT("Prod-",TEXT(ROW(B263),"0000"))</f>
        <v>Prod-0263</v>
      </c>
      <c r="C263" t="s">
        <v>565</v>
      </c>
      <c r="D263" s="1"/>
      <c r="E263" s="1"/>
      <c r="F263">
        <v>6</v>
      </c>
      <c r="H263">
        <f>PRODUTOS[[#This Row],[Entrada]]-PRODUTOS[[#This Row],[Salidas]]</f>
        <v>6</v>
      </c>
    </row>
    <row r="264" spans="2:8" x14ac:dyDescent="0.25">
      <c r="B264" t="str">
        <f>_xlfn.CONCAT("Prod-",TEXT(ROW(B264),"0000"))</f>
        <v>Prod-0264</v>
      </c>
      <c r="C264" t="s">
        <v>535</v>
      </c>
      <c r="D264" s="1"/>
      <c r="E264" s="1"/>
      <c r="F264">
        <v>4</v>
      </c>
      <c r="H264">
        <f>PRODUTOS[[#This Row],[Entrada]]-PRODUTOS[[#This Row],[Salidas]]</f>
        <v>4</v>
      </c>
    </row>
    <row r="265" spans="2:8" x14ac:dyDescent="0.25">
      <c r="B265" t="str">
        <f>_xlfn.CONCAT("Prod-",TEXT(ROW(B265),"0000"))</f>
        <v>Prod-0265</v>
      </c>
      <c r="C265" t="s">
        <v>536</v>
      </c>
      <c r="D265" s="1"/>
      <c r="E265" s="1"/>
      <c r="F265">
        <v>3</v>
      </c>
      <c r="H265">
        <f>PRODUTOS[[#This Row],[Entrada]]-PRODUTOS[[#This Row],[Salidas]]</f>
        <v>3</v>
      </c>
    </row>
    <row r="266" spans="2:8" x14ac:dyDescent="0.25">
      <c r="B266" t="str">
        <f>_xlfn.CONCAT("Prod-",TEXT(ROW(B266),"0000"))</f>
        <v>Prod-0266</v>
      </c>
      <c r="C266" t="s">
        <v>179</v>
      </c>
      <c r="D266" s="1"/>
      <c r="E266" s="1"/>
      <c r="F266">
        <v>2</v>
      </c>
      <c r="H266">
        <f>PRODUTOS[[#This Row],[Entrada]]-PRODUTOS[[#This Row],[Salidas]]</f>
        <v>2</v>
      </c>
    </row>
    <row r="267" spans="2:8" x14ac:dyDescent="0.25">
      <c r="B267" t="str">
        <f>_xlfn.CONCAT("Prod-",TEXT(ROW(B267),"0000"))</f>
        <v>Prod-0267</v>
      </c>
      <c r="C267" t="s">
        <v>178</v>
      </c>
      <c r="D267" s="1"/>
      <c r="E267" s="1"/>
      <c r="F267">
        <v>10</v>
      </c>
      <c r="H267">
        <f>PRODUTOS[[#This Row],[Entrada]]-PRODUTOS[[#This Row],[Salidas]]</f>
        <v>10</v>
      </c>
    </row>
    <row r="268" spans="2:8" x14ac:dyDescent="0.25">
      <c r="B268" t="str">
        <f>_xlfn.CONCAT("Prod-",TEXT(ROW(B268),"0000"))</f>
        <v>Prod-0268</v>
      </c>
      <c r="C268" t="s">
        <v>177</v>
      </c>
      <c r="D268" s="1"/>
      <c r="E268" s="1"/>
      <c r="F268">
        <v>9</v>
      </c>
      <c r="H268">
        <f>PRODUTOS[[#This Row],[Entrada]]-PRODUTOS[[#This Row],[Salidas]]</f>
        <v>9</v>
      </c>
    </row>
    <row r="269" spans="2:8" x14ac:dyDescent="0.25">
      <c r="B269" t="str">
        <f>_xlfn.CONCAT("Prod-",TEXT(ROW(B269),"0000"))</f>
        <v>Prod-0269</v>
      </c>
      <c r="C269" t="s">
        <v>181</v>
      </c>
      <c r="D269" s="1"/>
      <c r="E269" s="1"/>
      <c r="F269">
        <v>10</v>
      </c>
      <c r="H269">
        <f>PRODUTOS[[#This Row],[Entrada]]-PRODUTOS[[#This Row],[Salidas]]</f>
        <v>10</v>
      </c>
    </row>
    <row r="270" spans="2:8" x14ac:dyDescent="0.25">
      <c r="B270" t="str">
        <f>_xlfn.CONCAT("Prod-",TEXT(ROW(B270),"0000"))</f>
        <v>Prod-0270</v>
      </c>
      <c r="C270" t="s">
        <v>180</v>
      </c>
      <c r="D270" s="1"/>
      <c r="E270" s="1"/>
      <c r="F270">
        <v>5</v>
      </c>
      <c r="H270">
        <f>PRODUTOS[[#This Row],[Entrada]]-PRODUTOS[[#This Row],[Salidas]]</f>
        <v>5</v>
      </c>
    </row>
    <row r="271" spans="2:8" x14ac:dyDescent="0.25">
      <c r="B271" t="str">
        <f>_xlfn.CONCAT("Prod-",TEXT(ROW(B271),"0000"))</f>
        <v>Prod-0271</v>
      </c>
      <c r="C271" t="s">
        <v>183</v>
      </c>
      <c r="D271" s="1"/>
      <c r="E271" s="1"/>
      <c r="F271">
        <v>3</v>
      </c>
      <c r="H271">
        <f>PRODUTOS[[#This Row],[Entrada]]-PRODUTOS[[#This Row],[Salidas]]</f>
        <v>3</v>
      </c>
    </row>
    <row r="272" spans="2:8" x14ac:dyDescent="0.25">
      <c r="B272" t="str">
        <f>_xlfn.CONCAT("Prod-",TEXT(ROW(B272),"0000"))</f>
        <v>Prod-0272</v>
      </c>
      <c r="C272" t="s">
        <v>182</v>
      </c>
      <c r="D272" s="1"/>
      <c r="E272" s="1"/>
      <c r="F272">
        <v>1</v>
      </c>
      <c r="H272">
        <f>PRODUTOS[[#This Row],[Entrada]]-PRODUTOS[[#This Row],[Salidas]]</f>
        <v>1</v>
      </c>
    </row>
    <row r="273" spans="2:8" x14ac:dyDescent="0.25">
      <c r="B273" t="str">
        <f>_xlfn.CONCAT("Prod-",TEXT(ROW(B273),"0000"))</f>
        <v>Prod-0273</v>
      </c>
      <c r="C273" t="s">
        <v>611</v>
      </c>
      <c r="D273" s="1"/>
      <c r="E273" s="1"/>
      <c r="F273">
        <v>4</v>
      </c>
      <c r="H273">
        <f>PRODUTOS[[#This Row],[Entrada]]-PRODUTOS[[#This Row],[Salidas]]</f>
        <v>4</v>
      </c>
    </row>
    <row r="274" spans="2:8" x14ac:dyDescent="0.25">
      <c r="B274" t="str">
        <f>_xlfn.CONCAT("Prod-",TEXT(ROW(B274),"0000"))</f>
        <v>Prod-0274</v>
      </c>
      <c r="C274" t="s">
        <v>505</v>
      </c>
      <c r="D274" s="1"/>
      <c r="E274" s="1"/>
      <c r="F274">
        <v>0</v>
      </c>
      <c r="H274">
        <f>PRODUTOS[[#This Row],[Entrada]]-PRODUTOS[[#This Row],[Salidas]]</f>
        <v>0</v>
      </c>
    </row>
    <row r="275" spans="2:8" x14ac:dyDescent="0.25">
      <c r="B275" t="str">
        <f>_xlfn.CONCAT("Prod-",TEXT(ROW(B275),"0000"))</f>
        <v>Prod-0275</v>
      </c>
      <c r="C275" t="s">
        <v>504</v>
      </c>
      <c r="D275" s="1"/>
      <c r="E275" s="1"/>
      <c r="F275">
        <v>6</v>
      </c>
      <c r="H275">
        <f>PRODUTOS[[#This Row],[Entrada]]-PRODUTOS[[#This Row],[Salidas]]</f>
        <v>6</v>
      </c>
    </row>
    <row r="276" spans="2:8" x14ac:dyDescent="0.25">
      <c r="B276" t="str">
        <f>_xlfn.CONCAT("Prod-",TEXT(ROW(B276),"0000"))</f>
        <v>Prod-0276</v>
      </c>
      <c r="C276" t="s">
        <v>340</v>
      </c>
      <c r="D276" s="1"/>
      <c r="E276" s="1"/>
      <c r="F276">
        <v>26</v>
      </c>
      <c r="H276">
        <f>PRODUTOS[[#This Row],[Entrada]]-PRODUTOS[[#This Row],[Salidas]]</f>
        <v>26</v>
      </c>
    </row>
    <row r="277" spans="2:8" x14ac:dyDescent="0.25">
      <c r="B277" t="str">
        <f>_xlfn.CONCAT("Prod-",TEXT(ROW(B277),"0000"))</f>
        <v>Prod-0277</v>
      </c>
      <c r="C277" t="s">
        <v>486</v>
      </c>
      <c r="D277" s="1"/>
      <c r="E277" s="1"/>
      <c r="F277">
        <v>2</v>
      </c>
      <c r="H277">
        <f>PRODUTOS[[#This Row],[Entrada]]-PRODUTOS[[#This Row],[Salidas]]</f>
        <v>2</v>
      </c>
    </row>
    <row r="278" spans="2:8" x14ac:dyDescent="0.25">
      <c r="B278" t="str">
        <f>_xlfn.CONCAT("Prod-",TEXT(ROW(B278),"0000"))</f>
        <v>Prod-0278</v>
      </c>
      <c r="C278" t="s">
        <v>258</v>
      </c>
      <c r="D278" s="1"/>
      <c r="E278" s="1"/>
      <c r="F278">
        <v>5</v>
      </c>
      <c r="H278">
        <f>PRODUTOS[[#This Row],[Entrada]]-PRODUTOS[[#This Row],[Salidas]]</f>
        <v>5</v>
      </c>
    </row>
    <row r="279" spans="2:8" x14ac:dyDescent="0.25">
      <c r="B279" t="str">
        <f>_xlfn.CONCAT("Prod-",TEXT(ROW(B279),"0000"))</f>
        <v>Prod-0279</v>
      </c>
      <c r="C279" t="s">
        <v>259</v>
      </c>
      <c r="D279" s="1"/>
      <c r="E279" s="1"/>
      <c r="F279">
        <v>1</v>
      </c>
      <c r="H279">
        <f>PRODUTOS[[#This Row],[Entrada]]-PRODUTOS[[#This Row],[Salidas]]</f>
        <v>1</v>
      </c>
    </row>
    <row r="280" spans="2:8" x14ac:dyDescent="0.25">
      <c r="B280" t="str">
        <f>_xlfn.CONCAT("Prod-",TEXT(ROW(B280),"0000"))</f>
        <v>Prod-0280</v>
      </c>
      <c r="C280" t="s">
        <v>416</v>
      </c>
      <c r="D280" s="1"/>
      <c r="E280" s="1"/>
      <c r="F280">
        <v>2</v>
      </c>
      <c r="H280">
        <f>PRODUTOS[[#This Row],[Entrada]]-PRODUTOS[[#This Row],[Salidas]]</f>
        <v>2</v>
      </c>
    </row>
    <row r="281" spans="2:8" x14ac:dyDescent="0.25">
      <c r="B281" t="str">
        <f>_xlfn.CONCAT("Prod-",TEXT(ROW(B281),"0000"))</f>
        <v>Prod-0281</v>
      </c>
      <c r="C281" t="s">
        <v>551</v>
      </c>
      <c r="D281" s="1"/>
      <c r="E281" s="1"/>
      <c r="F281">
        <v>1</v>
      </c>
      <c r="H281">
        <f>PRODUTOS[[#This Row],[Entrada]]-PRODUTOS[[#This Row],[Salidas]]</f>
        <v>1</v>
      </c>
    </row>
    <row r="282" spans="2:8" x14ac:dyDescent="0.25">
      <c r="B282" t="str">
        <f>_xlfn.CONCAT("Prod-",TEXT(ROW(B282),"0000"))</f>
        <v>Prod-0282</v>
      </c>
      <c r="C282" t="s">
        <v>549</v>
      </c>
      <c r="D282" s="1"/>
      <c r="E282" s="1"/>
      <c r="F282">
        <v>2</v>
      </c>
      <c r="H282">
        <f>PRODUTOS[[#This Row],[Entrada]]-PRODUTOS[[#This Row],[Salidas]]</f>
        <v>2</v>
      </c>
    </row>
    <row r="283" spans="2:8" x14ac:dyDescent="0.25">
      <c r="B283" t="str">
        <f>_xlfn.CONCAT("Prod-",TEXT(ROW(B283),"0000"))</f>
        <v>Prod-0283</v>
      </c>
      <c r="C283" t="s">
        <v>550</v>
      </c>
      <c r="D283" s="1"/>
      <c r="E283" s="1"/>
      <c r="F283">
        <v>1</v>
      </c>
      <c r="H283">
        <f>PRODUTOS[[#This Row],[Entrada]]-PRODUTOS[[#This Row],[Salidas]]</f>
        <v>1</v>
      </c>
    </row>
    <row r="284" spans="2:8" x14ac:dyDescent="0.25">
      <c r="B284" t="str">
        <f>_xlfn.CONCAT("Prod-",TEXT(ROW(B284),"0000"))</f>
        <v>Prod-0284</v>
      </c>
      <c r="C284" t="s">
        <v>561</v>
      </c>
      <c r="D284" s="1"/>
      <c r="E284" s="1"/>
      <c r="F284">
        <v>1</v>
      </c>
      <c r="H284">
        <f>PRODUTOS[[#This Row],[Entrada]]-PRODUTOS[[#This Row],[Salidas]]</f>
        <v>1</v>
      </c>
    </row>
    <row r="285" spans="2:8" x14ac:dyDescent="0.25">
      <c r="B285" t="str">
        <f>_xlfn.CONCAT("Prod-",TEXT(ROW(B285),"0000"))</f>
        <v>Prod-0285</v>
      </c>
      <c r="C285" t="s">
        <v>552</v>
      </c>
      <c r="D285" s="1"/>
      <c r="E285" s="1"/>
      <c r="F285">
        <v>5</v>
      </c>
      <c r="H285">
        <f>PRODUTOS[[#This Row],[Entrada]]-PRODUTOS[[#This Row],[Salidas]]</f>
        <v>5</v>
      </c>
    </row>
    <row r="286" spans="2:8" x14ac:dyDescent="0.25">
      <c r="B286" t="str">
        <f>_xlfn.CONCAT("Prod-",TEXT(ROW(B286),"0000"))</f>
        <v>Prod-0286</v>
      </c>
      <c r="C286" t="s">
        <v>431</v>
      </c>
      <c r="D286" s="1"/>
      <c r="E286" s="1"/>
      <c r="F286">
        <v>9</v>
      </c>
      <c r="H286">
        <f>PRODUTOS[[#This Row],[Entrada]]-PRODUTOS[[#This Row],[Salidas]]</f>
        <v>9</v>
      </c>
    </row>
    <row r="287" spans="2:8" x14ac:dyDescent="0.25">
      <c r="B287" t="str">
        <f>_xlfn.CONCAT("Prod-",TEXT(ROW(B287),"0000"))</f>
        <v>Prod-0287</v>
      </c>
      <c r="C287" t="s">
        <v>250</v>
      </c>
      <c r="D287" s="1"/>
      <c r="E287" s="1"/>
      <c r="F287">
        <v>6</v>
      </c>
      <c r="H287">
        <f>PRODUTOS[[#This Row],[Entrada]]-PRODUTOS[[#This Row],[Salidas]]</f>
        <v>6</v>
      </c>
    </row>
    <row r="288" spans="2:8" x14ac:dyDescent="0.25">
      <c r="B288" t="str">
        <f>_xlfn.CONCAT("Prod-",TEXT(ROW(B288),"0000"))</f>
        <v>Prod-0288</v>
      </c>
      <c r="C288" t="s">
        <v>249</v>
      </c>
      <c r="D288" s="1"/>
      <c r="E288" s="1"/>
      <c r="F288">
        <v>2</v>
      </c>
      <c r="H288">
        <f>PRODUTOS[[#This Row],[Entrada]]-PRODUTOS[[#This Row],[Salidas]]</f>
        <v>2</v>
      </c>
    </row>
    <row r="289" spans="2:8" x14ac:dyDescent="0.25">
      <c r="B289" t="str">
        <f>_xlfn.CONCAT("Prod-",TEXT(ROW(B289),"0000"))</f>
        <v>Prod-0289</v>
      </c>
      <c r="C289" t="s">
        <v>248</v>
      </c>
      <c r="D289" s="1"/>
      <c r="E289" s="1"/>
      <c r="F289">
        <v>9</v>
      </c>
      <c r="H289">
        <f>PRODUTOS[[#This Row],[Entrada]]-PRODUTOS[[#This Row],[Salidas]]</f>
        <v>9</v>
      </c>
    </row>
    <row r="290" spans="2:8" x14ac:dyDescent="0.25">
      <c r="B290" t="str">
        <f>_xlfn.CONCAT("Prod-",TEXT(ROW(B290),"0000"))</f>
        <v>Prod-0290</v>
      </c>
      <c r="C290" t="s">
        <v>239</v>
      </c>
      <c r="D290" s="1"/>
      <c r="E290" s="1"/>
      <c r="F290">
        <v>2</v>
      </c>
      <c r="H290">
        <f>PRODUTOS[[#This Row],[Entrada]]-PRODUTOS[[#This Row],[Salidas]]</f>
        <v>2</v>
      </c>
    </row>
    <row r="291" spans="2:8" x14ac:dyDescent="0.25">
      <c r="B291" t="str">
        <f>_xlfn.CONCAT("Prod-",TEXT(ROW(B291),"0000"))</f>
        <v>Prod-0291</v>
      </c>
      <c r="C291" t="s">
        <v>238</v>
      </c>
      <c r="D291" s="1"/>
      <c r="E291" s="1"/>
      <c r="F291">
        <v>6</v>
      </c>
      <c r="H291">
        <f>PRODUTOS[[#This Row],[Entrada]]-PRODUTOS[[#This Row],[Salidas]]</f>
        <v>6</v>
      </c>
    </row>
    <row r="292" spans="2:8" x14ac:dyDescent="0.25">
      <c r="B292" t="str">
        <f>_xlfn.CONCAT("Prod-",TEXT(ROW(B292),"0000"))</f>
        <v>Prod-0292</v>
      </c>
      <c r="C292" t="s">
        <v>236</v>
      </c>
      <c r="D292" s="1"/>
      <c r="E292" s="1"/>
      <c r="F292">
        <v>6</v>
      </c>
      <c r="H292">
        <f>PRODUTOS[[#This Row],[Entrada]]-PRODUTOS[[#This Row],[Salidas]]</f>
        <v>6</v>
      </c>
    </row>
    <row r="293" spans="2:8" x14ac:dyDescent="0.25">
      <c r="B293" t="str">
        <f>_xlfn.CONCAT("Prod-",TEXT(ROW(B293),"0000"))</f>
        <v>Prod-0293</v>
      </c>
      <c r="C293" t="s">
        <v>240</v>
      </c>
      <c r="D293" s="1"/>
      <c r="E293" s="1"/>
      <c r="F293">
        <v>3</v>
      </c>
      <c r="H293">
        <f>PRODUTOS[[#This Row],[Entrada]]-PRODUTOS[[#This Row],[Salidas]]</f>
        <v>3</v>
      </c>
    </row>
    <row r="294" spans="2:8" x14ac:dyDescent="0.25">
      <c r="B294" t="str">
        <f>_xlfn.CONCAT("Prod-",TEXT(ROW(B294),"0000"))</f>
        <v>Prod-0294</v>
      </c>
      <c r="C294" t="s">
        <v>522</v>
      </c>
      <c r="D294" s="1"/>
      <c r="E294" s="1"/>
      <c r="F294">
        <v>9</v>
      </c>
      <c r="H294">
        <f>PRODUTOS[[#This Row],[Entrada]]-PRODUTOS[[#This Row],[Salidas]]</f>
        <v>9</v>
      </c>
    </row>
    <row r="295" spans="2:8" x14ac:dyDescent="0.25">
      <c r="B295" t="str">
        <f>_xlfn.CONCAT("Prod-",TEXT(ROW(B295),"0000"))</f>
        <v>Prod-0295</v>
      </c>
      <c r="C295" t="s">
        <v>521</v>
      </c>
      <c r="D295" s="1"/>
      <c r="E295" s="1"/>
      <c r="F295">
        <v>6</v>
      </c>
      <c r="H295">
        <f>PRODUTOS[[#This Row],[Entrada]]-PRODUTOS[[#This Row],[Salidas]]</f>
        <v>6</v>
      </c>
    </row>
    <row r="296" spans="2:8" x14ac:dyDescent="0.25">
      <c r="B296" t="str">
        <f>_xlfn.CONCAT("Prod-",TEXT(ROW(B296),"0000"))</f>
        <v>Prod-0296</v>
      </c>
      <c r="C296" t="s">
        <v>523</v>
      </c>
      <c r="D296" s="1"/>
      <c r="E296" s="1"/>
      <c r="F296">
        <v>0</v>
      </c>
      <c r="H296">
        <f>PRODUTOS[[#This Row],[Entrada]]-PRODUTOS[[#This Row],[Salidas]]</f>
        <v>0</v>
      </c>
    </row>
    <row r="297" spans="2:8" x14ac:dyDescent="0.25">
      <c r="B297" t="str">
        <f>_xlfn.CONCAT("Prod-",TEXT(ROW(B297),"0000"))</f>
        <v>Prod-0297</v>
      </c>
      <c r="C297" t="s">
        <v>520</v>
      </c>
      <c r="D297" s="1"/>
      <c r="E297" s="1"/>
      <c r="F297">
        <v>7</v>
      </c>
      <c r="H297">
        <f>PRODUTOS[[#This Row],[Entrada]]-PRODUTOS[[#This Row],[Salidas]]</f>
        <v>7</v>
      </c>
    </row>
    <row r="298" spans="2:8" x14ac:dyDescent="0.25">
      <c r="B298" t="str">
        <f>_xlfn.CONCAT("Prod-",TEXT(ROW(B298),"0000"))</f>
        <v>Prod-0298</v>
      </c>
      <c r="C298" t="s">
        <v>156</v>
      </c>
      <c r="D298" s="1"/>
      <c r="E298" s="1"/>
      <c r="F298">
        <v>12</v>
      </c>
      <c r="H298">
        <f>PRODUTOS[[#This Row],[Entrada]]-PRODUTOS[[#This Row],[Salidas]]</f>
        <v>12</v>
      </c>
    </row>
    <row r="299" spans="2:8" x14ac:dyDescent="0.25">
      <c r="B299" t="str">
        <f>_xlfn.CONCAT("Prod-",TEXT(ROW(B299),"0000"))</f>
        <v>Prod-0299</v>
      </c>
      <c r="C299" t="s">
        <v>415</v>
      </c>
      <c r="D299" s="1"/>
      <c r="E299" s="1"/>
      <c r="F299">
        <v>2</v>
      </c>
      <c r="H299">
        <f>PRODUTOS[[#This Row],[Entrada]]-PRODUTOS[[#This Row],[Salidas]]</f>
        <v>2</v>
      </c>
    </row>
    <row r="300" spans="2:8" x14ac:dyDescent="0.25">
      <c r="B300" t="str">
        <f>_xlfn.CONCAT("Prod-",TEXT(ROW(B300),"0000"))</f>
        <v>Prod-0300</v>
      </c>
      <c r="C300" t="s">
        <v>581</v>
      </c>
      <c r="D300" s="1"/>
      <c r="E300" s="1"/>
      <c r="F300">
        <v>6</v>
      </c>
      <c r="H300">
        <f>PRODUTOS[[#This Row],[Entrada]]-PRODUTOS[[#This Row],[Salidas]]</f>
        <v>6</v>
      </c>
    </row>
    <row r="301" spans="2:8" x14ac:dyDescent="0.25">
      <c r="B301" t="str">
        <f>_xlfn.CONCAT("Prod-",TEXT(ROW(B301),"0000"))</f>
        <v>Prod-0301</v>
      </c>
      <c r="C301" t="s">
        <v>652</v>
      </c>
      <c r="D301" s="1"/>
      <c r="E301" s="1"/>
      <c r="F301">
        <v>1</v>
      </c>
      <c r="H301">
        <f>PRODUTOS[[#This Row],[Entrada]]-PRODUTOS[[#This Row],[Salidas]]</f>
        <v>1</v>
      </c>
    </row>
    <row r="302" spans="2:8" x14ac:dyDescent="0.25">
      <c r="B302" t="str">
        <f>_xlfn.CONCAT("Prod-",TEXT(ROW(B302),"0000"))</f>
        <v>Prod-0302</v>
      </c>
      <c r="C302" t="s">
        <v>653</v>
      </c>
      <c r="D302" s="1"/>
      <c r="E302" s="1"/>
      <c r="F302">
        <v>5</v>
      </c>
      <c r="H302">
        <f>PRODUTOS[[#This Row],[Entrada]]-PRODUTOS[[#This Row],[Salidas]]</f>
        <v>5</v>
      </c>
    </row>
    <row r="303" spans="2:8" x14ac:dyDescent="0.25">
      <c r="B303" t="str">
        <f>_xlfn.CONCAT("Prod-",TEXT(ROW(B303),"0000"))</f>
        <v>Prod-0303</v>
      </c>
      <c r="C303" t="s">
        <v>517</v>
      </c>
      <c r="D303" s="1"/>
      <c r="E303" s="1"/>
      <c r="F303">
        <v>5</v>
      </c>
      <c r="H303">
        <f>PRODUTOS[[#This Row],[Entrada]]-PRODUTOS[[#This Row],[Salidas]]</f>
        <v>5</v>
      </c>
    </row>
    <row r="304" spans="2:8" x14ac:dyDescent="0.25">
      <c r="B304" t="str">
        <f>_xlfn.CONCAT("Prod-",TEXT(ROW(B304),"0000"))</f>
        <v>Prod-0304</v>
      </c>
      <c r="C304" t="s">
        <v>511</v>
      </c>
      <c r="D304" s="1"/>
      <c r="E304" s="1"/>
      <c r="F304">
        <v>2</v>
      </c>
      <c r="H304">
        <f>PRODUTOS[[#This Row],[Entrada]]-PRODUTOS[[#This Row],[Salidas]]</f>
        <v>2</v>
      </c>
    </row>
    <row r="305" spans="2:8" x14ac:dyDescent="0.25">
      <c r="B305" t="str">
        <f>_xlfn.CONCAT("Prod-",TEXT(ROW(B305),"0000"))</f>
        <v>Prod-0305</v>
      </c>
      <c r="C305" t="s">
        <v>512</v>
      </c>
      <c r="D305" s="1"/>
      <c r="E305" s="1"/>
      <c r="F305">
        <v>2</v>
      </c>
      <c r="H305">
        <f>PRODUTOS[[#This Row],[Entrada]]-PRODUTOS[[#This Row],[Salidas]]</f>
        <v>2</v>
      </c>
    </row>
    <row r="306" spans="2:8" x14ac:dyDescent="0.25">
      <c r="B306" t="str">
        <f>_xlfn.CONCAT("Prod-",TEXT(ROW(B306),"0000"))</f>
        <v>Prod-0306</v>
      </c>
      <c r="C306" t="s">
        <v>508</v>
      </c>
      <c r="D306" s="1"/>
      <c r="E306" s="1"/>
      <c r="F306">
        <v>2</v>
      </c>
      <c r="H306">
        <f>PRODUTOS[[#This Row],[Entrada]]-PRODUTOS[[#This Row],[Salidas]]</f>
        <v>2</v>
      </c>
    </row>
    <row r="307" spans="2:8" x14ac:dyDescent="0.25">
      <c r="B307" t="str">
        <f>_xlfn.CONCAT("Prod-",TEXT(ROW(B307),"0000"))</f>
        <v>Prod-0307</v>
      </c>
      <c r="C307" t="s">
        <v>518</v>
      </c>
      <c r="D307" s="1"/>
      <c r="E307" s="1"/>
      <c r="F307">
        <v>5</v>
      </c>
      <c r="H307">
        <f>PRODUTOS[[#This Row],[Entrada]]-PRODUTOS[[#This Row],[Salidas]]</f>
        <v>5</v>
      </c>
    </row>
    <row r="308" spans="2:8" x14ac:dyDescent="0.25">
      <c r="B308" t="str">
        <f>_xlfn.CONCAT("Prod-",TEXT(ROW(B308),"0000"))</f>
        <v>Prod-0308</v>
      </c>
      <c r="C308" t="s">
        <v>506</v>
      </c>
      <c r="D308" s="1"/>
      <c r="E308" s="1"/>
      <c r="F308">
        <v>8</v>
      </c>
      <c r="H308">
        <f>PRODUTOS[[#This Row],[Entrada]]-PRODUTOS[[#This Row],[Salidas]]</f>
        <v>8</v>
      </c>
    </row>
    <row r="309" spans="2:8" x14ac:dyDescent="0.25">
      <c r="B309" t="str">
        <f>_xlfn.CONCAT("Prod-",TEXT(ROW(B309),"0000"))</f>
        <v>Prod-0309</v>
      </c>
      <c r="C309" t="s">
        <v>513</v>
      </c>
      <c r="D309" s="1"/>
      <c r="E309" s="1"/>
      <c r="F309">
        <v>2</v>
      </c>
      <c r="H309">
        <f>PRODUTOS[[#This Row],[Entrada]]-PRODUTOS[[#This Row],[Salidas]]</f>
        <v>2</v>
      </c>
    </row>
    <row r="310" spans="2:8" x14ac:dyDescent="0.25">
      <c r="B310" t="str">
        <f>_xlfn.CONCAT("Prod-",TEXT(ROW(B310),"0000"))</f>
        <v>Prod-0310</v>
      </c>
      <c r="C310" t="s">
        <v>514</v>
      </c>
      <c r="D310" s="1"/>
      <c r="E310" s="1"/>
      <c r="F310">
        <v>1</v>
      </c>
      <c r="H310">
        <f>PRODUTOS[[#This Row],[Entrada]]-PRODUTOS[[#This Row],[Salidas]]</f>
        <v>1</v>
      </c>
    </row>
    <row r="311" spans="2:8" x14ac:dyDescent="0.25">
      <c r="B311" t="str">
        <f>_xlfn.CONCAT("Prod-",TEXT(ROW(B311),"0000"))</f>
        <v>Prod-0311</v>
      </c>
      <c r="C311" t="s">
        <v>510</v>
      </c>
      <c r="D311" s="1"/>
      <c r="E311" s="1"/>
      <c r="F311">
        <v>5</v>
      </c>
      <c r="H311">
        <f>PRODUTOS[[#This Row],[Entrada]]-PRODUTOS[[#This Row],[Salidas]]</f>
        <v>5</v>
      </c>
    </row>
    <row r="312" spans="2:8" x14ac:dyDescent="0.25">
      <c r="B312" t="str">
        <f>_xlfn.CONCAT("Prod-",TEXT(ROW(B312),"0000"))</f>
        <v>Prod-0312</v>
      </c>
      <c r="C312" t="s">
        <v>507</v>
      </c>
      <c r="D312" s="1"/>
      <c r="E312" s="1"/>
      <c r="F312">
        <v>3</v>
      </c>
      <c r="H312">
        <f>PRODUTOS[[#This Row],[Entrada]]-PRODUTOS[[#This Row],[Salidas]]</f>
        <v>3</v>
      </c>
    </row>
    <row r="313" spans="2:8" x14ac:dyDescent="0.25">
      <c r="B313" t="str">
        <f>_xlfn.CONCAT("Prod-",TEXT(ROW(B313),"0000"))</f>
        <v>Prod-0313</v>
      </c>
      <c r="C313" t="s">
        <v>509</v>
      </c>
      <c r="D313" s="1"/>
      <c r="E313" s="1"/>
      <c r="F313">
        <v>3</v>
      </c>
      <c r="H313">
        <f>PRODUTOS[[#This Row],[Entrada]]-PRODUTOS[[#This Row],[Salidas]]</f>
        <v>3</v>
      </c>
    </row>
    <row r="314" spans="2:8" x14ac:dyDescent="0.25">
      <c r="B314" t="str">
        <f>_xlfn.CONCAT("Prod-",TEXT(ROW(B314),"0000"))</f>
        <v>Prod-0314</v>
      </c>
      <c r="C314" t="s">
        <v>515</v>
      </c>
      <c r="D314" s="1"/>
      <c r="E314" s="1"/>
      <c r="F314">
        <v>1</v>
      </c>
      <c r="H314">
        <f>PRODUTOS[[#This Row],[Entrada]]-PRODUTOS[[#This Row],[Salidas]]</f>
        <v>1</v>
      </c>
    </row>
    <row r="315" spans="2:8" x14ac:dyDescent="0.25">
      <c r="B315" t="str">
        <f>_xlfn.CONCAT("Prod-",TEXT(ROW(B315),"0000"))</f>
        <v>Prod-0315</v>
      </c>
      <c r="C315" t="s">
        <v>516</v>
      </c>
      <c r="D315" s="1"/>
      <c r="E315" s="1"/>
      <c r="F315">
        <v>2</v>
      </c>
      <c r="H315">
        <f>PRODUTOS[[#This Row],[Entrada]]-PRODUTOS[[#This Row],[Salidas]]</f>
        <v>2</v>
      </c>
    </row>
    <row r="316" spans="2:8" x14ac:dyDescent="0.25">
      <c r="B316" t="str">
        <f>_xlfn.CONCAT("Prod-",TEXT(ROW(B316),"0000"))</f>
        <v>Prod-0316</v>
      </c>
      <c r="C316" t="s">
        <v>487</v>
      </c>
      <c r="D316" s="1"/>
      <c r="E316" s="1"/>
      <c r="F316">
        <v>19</v>
      </c>
      <c r="H316">
        <f>PRODUTOS[[#This Row],[Entrada]]-PRODUTOS[[#This Row],[Salidas]]</f>
        <v>19</v>
      </c>
    </row>
    <row r="317" spans="2:8" x14ac:dyDescent="0.25">
      <c r="B317" t="str">
        <f>_xlfn.CONCAT("Prod-",TEXT(ROW(B317),"0000"))</f>
        <v>Prod-0317</v>
      </c>
      <c r="C317" t="s">
        <v>488</v>
      </c>
      <c r="D317" s="1"/>
      <c r="E317" s="1"/>
      <c r="F317">
        <v>8</v>
      </c>
      <c r="H317">
        <f>PRODUTOS[[#This Row],[Entrada]]-PRODUTOS[[#This Row],[Salidas]]</f>
        <v>8</v>
      </c>
    </row>
    <row r="318" spans="2:8" x14ac:dyDescent="0.25">
      <c r="B318" t="str">
        <f>_xlfn.CONCAT("Prod-",TEXT(ROW(B318),"0000"))</f>
        <v>Prod-0318</v>
      </c>
      <c r="C318" t="s">
        <v>493</v>
      </c>
      <c r="D318" s="1"/>
      <c r="E318" s="1"/>
      <c r="F318">
        <v>3</v>
      </c>
      <c r="H318">
        <f>PRODUTOS[[#This Row],[Entrada]]-PRODUTOS[[#This Row],[Salidas]]</f>
        <v>3</v>
      </c>
    </row>
    <row r="319" spans="2:8" x14ac:dyDescent="0.25">
      <c r="B319" t="str">
        <f>_xlfn.CONCAT("Prod-",TEXT(ROW(B319),"0000"))</f>
        <v>Prod-0319</v>
      </c>
      <c r="C319" t="s">
        <v>490</v>
      </c>
      <c r="D319" s="1"/>
      <c r="E319" s="1"/>
      <c r="F319">
        <v>12</v>
      </c>
      <c r="H319">
        <f>PRODUTOS[[#This Row],[Entrada]]-PRODUTOS[[#This Row],[Salidas]]</f>
        <v>12</v>
      </c>
    </row>
    <row r="320" spans="2:8" x14ac:dyDescent="0.25">
      <c r="B320" t="str">
        <f>_xlfn.CONCAT("Prod-",TEXT(ROW(B320),"0000"))</f>
        <v>Prod-0320</v>
      </c>
      <c r="C320" t="s">
        <v>159</v>
      </c>
      <c r="D320" s="1"/>
      <c r="E320" s="1">
        <v>2.5</v>
      </c>
      <c r="F320">
        <v>3</v>
      </c>
      <c r="H320">
        <f>PRODUTOS[[#This Row],[Entrada]]-PRODUTOS[[#This Row],[Salidas]]</f>
        <v>3</v>
      </c>
    </row>
    <row r="321" spans="2:8" x14ac:dyDescent="0.25">
      <c r="B321" t="str">
        <f>_xlfn.CONCAT("Prod-",TEXT(ROW(B321),"0000"))</f>
        <v>Prod-0321</v>
      </c>
      <c r="C321" t="s">
        <v>160</v>
      </c>
      <c r="D321" s="1"/>
      <c r="E321" s="1">
        <v>2.5</v>
      </c>
      <c r="F321">
        <v>12</v>
      </c>
      <c r="G321">
        <v>1</v>
      </c>
      <c r="H321">
        <f>PRODUTOS[[#This Row],[Entrada]]-PRODUTOS[[#This Row],[Salidas]]</f>
        <v>11</v>
      </c>
    </row>
    <row r="322" spans="2:8" x14ac:dyDescent="0.25">
      <c r="B322" t="str">
        <f>_xlfn.CONCAT("Prod-",TEXT(ROW(B322),"0000"))</f>
        <v>Prod-0322</v>
      </c>
      <c r="C322" t="s">
        <v>158</v>
      </c>
      <c r="D322" s="1"/>
      <c r="E322" s="1">
        <v>2.5</v>
      </c>
      <c r="F322">
        <v>3</v>
      </c>
      <c r="H322">
        <f>PRODUTOS[[#This Row],[Entrada]]-PRODUTOS[[#This Row],[Salidas]]</f>
        <v>3</v>
      </c>
    </row>
    <row r="323" spans="2:8" x14ac:dyDescent="0.25">
      <c r="B323" t="str">
        <f>_xlfn.CONCAT("Prod-",TEXT(ROW(B323),"0000"))</f>
        <v>Prod-0323</v>
      </c>
      <c r="C323" t="s">
        <v>157</v>
      </c>
      <c r="D323" s="1"/>
      <c r="E323" s="1">
        <v>2.5</v>
      </c>
      <c r="F323">
        <v>9</v>
      </c>
      <c r="G323">
        <v>2</v>
      </c>
      <c r="H323">
        <f>PRODUTOS[[#This Row],[Entrada]]-PRODUTOS[[#This Row],[Salidas]]</f>
        <v>7</v>
      </c>
    </row>
    <row r="324" spans="2:8" x14ac:dyDescent="0.25">
      <c r="B324" t="str">
        <f>_xlfn.CONCAT("Prod-",TEXT(ROW(B324),"0000"))</f>
        <v>Prod-0324</v>
      </c>
      <c r="C324" t="s">
        <v>161</v>
      </c>
      <c r="D324" s="1"/>
      <c r="E324" s="1">
        <v>3.5</v>
      </c>
      <c r="F324">
        <v>6</v>
      </c>
      <c r="H324">
        <f>PRODUTOS[[#This Row],[Entrada]]-PRODUTOS[[#This Row],[Salidas]]</f>
        <v>6</v>
      </c>
    </row>
    <row r="325" spans="2:8" x14ac:dyDescent="0.25">
      <c r="B325" t="str">
        <f>_xlfn.CONCAT("Prod-",TEXT(ROW(B325),"0000"))</f>
        <v>Prod-0325</v>
      </c>
      <c r="C325" t="s">
        <v>333</v>
      </c>
      <c r="D325" s="1"/>
      <c r="E325" s="1"/>
      <c r="F325">
        <v>1</v>
      </c>
      <c r="H325">
        <f>PRODUTOS[[#This Row],[Entrada]]-PRODUTOS[[#This Row],[Salidas]]</f>
        <v>1</v>
      </c>
    </row>
    <row r="326" spans="2:8" x14ac:dyDescent="0.25">
      <c r="B326" t="str">
        <f>_xlfn.CONCAT("Prod-",TEXT(ROW(B326),"0000"))</f>
        <v>Prod-0326</v>
      </c>
      <c r="C326" t="s">
        <v>447</v>
      </c>
      <c r="D326" s="1"/>
      <c r="E326" s="1"/>
      <c r="F326">
        <v>5</v>
      </c>
      <c r="H326">
        <f>PRODUTOS[[#This Row],[Entrada]]-PRODUTOS[[#This Row],[Salidas]]</f>
        <v>5</v>
      </c>
    </row>
    <row r="327" spans="2:8" x14ac:dyDescent="0.25">
      <c r="B327" t="str">
        <f>_xlfn.CONCAT("Prod-",TEXT(ROW(B327),"0000"))</f>
        <v>Prod-0327</v>
      </c>
      <c r="C327" t="s">
        <v>580</v>
      </c>
      <c r="D327" s="1"/>
      <c r="E327" s="1"/>
      <c r="F327">
        <v>5</v>
      </c>
      <c r="H327">
        <f>PRODUTOS[[#This Row],[Entrada]]-PRODUTOS[[#This Row],[Salidas]]</f>
        <v>5</v>
      </c>
    </row>
    <row r="328" spans="2:8" x14ac:dyDescent="0.25">
      <c r="B328" t="str">
        <f>_xlfn.CONCAT("Prod-",TEXT(ROW(B328),"0000"))</f>
        <v>Prod-0328</v>
      </c>
      <c r="C328" t="s">
        <v>478</v>
      </c>
      <c r="D328" s="1"/>
      <c r="E328" s="1"/>
      <c r="F328">
        <v>21</v>
      </c>
      <c r="H328">
        <f>PRODUTOS[[#This Row],[Entrada]]-PRODUTOS[[#This Row],[Salidas]]</f>
        <v>21</v>
      </c>
    </row>
    <row r="329" spans="2:8" x14ac:dyDescent="0.25">
      <c r="B329" t="str">
        <f>_xlfn.CONCAT("Prod-",TEXT(ROW(B329),"0000"))</f>
        <v>Prod-0329</v>
      </c>
      <c r="C329" t="s">
        <v>466</v>
      </c>
      <c r="D329" s="1"/>
      <c r="E329" s="1"/>
      <c r="F329">
        <v>5</v>
      </c>
      <c r="H329">
        <f>PRODUTOS[[#This Row],[Entrada]]-PRODUTOS[[#This Row],[Salidas]]</f>
        <v>5</v>
      </c>
    </row>
    <row r="330" spans="2:8" x14ac:dyDescent="0.25">
      <c r="B330" t="str">
        <f>_xlfn.CONCAT("Prod-",TEXT(ROW(B330),"0000"))</f>
        <v>Prod-0330</v>
      </c>
      <c r="C330" t="s">
        <v>386</v>
      </c>
      <c r="D330" s="1"/>
      <c r="E330" s="1"/>
      <c r="F330">
        <v>2</v>
      </c>
      <c r="H330">
        <f>PRODUTOS[[#This Row],[Entrada]]-PRODUTOS[[#This Row],[Salidas]]</f>
        <v>2</v>
      </c>
    </row>
    <row r="331" spans="2:8" x14ac:dyDescent="0.25">
      <c r="B331" t="str">
        <f>_xlfn.CONCAT("Prod-",TEXT(ROW(B331),"0000"))</f>
        <v>Prod-0331</v>
      </c>
      <c r="C331" t="s">
        <v>614</v>
      </c>
      <c r="D331" s="1"/>
      <c r="E331" s="1"/>
      <c r="F331">
        <v>1</v>
      </c>
      <c r="H331">
        <f>PRODUTOS[[#This Row],[Entrada]]-PRODUTOS[[#This Row],[Salidas]]</f>
        <v>1</v>
      </c>
    </row>
    <row r="332" spans="2:8" x14ac:dyDescent="0.25">
      <c r="B332" t="str">
        <f>_xlfn.CONCAT("Prod-",TEXT(ROW(B332),"0000"))</f>
        <v>Prod-0332</v>
      </c>
      <c r="C332" t="s">
        <v>264</v>
      </c>
      <c r="D332" s="1"/>
      <c r="E332" s="1"/>
      <c r="F332">
        <v>5</v>
      </c>
      <c r="H332">
        <f>PRODUTOS[[#This Row],[Entrada]]-PRODUTOS[[#This Row],[Salidas]]</f>
        <v>5</v>
      </c>
    </row>
    <row r="333" spans="2:8" x14ac:dyDescent="0.25">
      <c r="B333" t="str">
        <f>_xlfn.CONCAT("Prod-",TEXT(ROW(B333),"0000"))</f>
        <v>Prod-0333</v>
      </c>
      <c r="C333" t="s">
        <v>605</v>
      </c>
      <c r="D333" s="1"/>
      <c r="E333" s="1"/>
      <c r="H333">
        <f>PRODUTOS[[#This Row],[Entrada]]-PRODUTOS[[#This Row],[Salidas]]</f>
        <v>0</v>
      </c>
    </row>
    <row r="334" spans="2:8" x14ac:dyDescent="0.25">
      <c r="B334" t="str">
        <f>_xlfn.CONCAT("Prod-",TEXT(ROW(B334),"0000"))</f>
        <v>Prod-0334</v>
      </c>
      <c r="C334" t="s">
        <v>651</v>
      </c>
      <c r="D334" s="1"/>
      <c r="E334" s="1"/>
      <c r="F334">
        <v>1</v>
      </c>
      <c r="H334">
        <f>PRODUTOS[[#This Row],[Entrada]]-PRODUTOS[[#This Row],[Salidas]]</f>
        <v>1</v>
      </c>
    </row>
    <row r="335" spans="2:8" x14ac:dyDescent="0.25">
      <c r="B335" t="str">
        <f>_xlfn.CONCAT("Prod-",TEXT(ROW(B335),"0000"))</f>
        <v>Prod-0335</v>
      </c>
      <c r="C335" t="s">
        <v>272</v>
      </c>
      <c r="D335" s="1"/>
      <c r="E335" s="1"/>
      <c r="F335">
        <v>12</v>
      </c>
      <c r="H335">
        <f>PRODUTOS[[#This Row],[Entrada]]-PRODUTOS[[#This Row],[Salidas]]</f>
        <v>12</v>
      </c>
    </row>
    <row r="336" spans="2:8" x14ac:dyDescent="0.25">
      <c r="B336" t="str">
        <f>_xlfn.CONCAT("Prod-",TEXT(ROW(B336),"0000"))</f>
        <v>Prod-0336</v>
      </c>
      <c r="C336" t="s">
        <v>349</v>
      </c>
      <c r="D336" s="1"/>
      <c r="E336" s="1"/>
      <c r="F336">
        <v>2</v>
      </c>
      <c r="H336">
        <f>PRODUTOS[[#This Row],[Entrada]]-PRODUTOS[[#This Row],[Salidas]]</f>
        <v>2</v>
      </c>
    </row>
    <row r="337" spans="2:8" x14ac:dyDescent="0.25">
      <c r="B337" t="str">
        <f>_xlfn.CONCAT("Prod-",TEXT(ROW(B337),"0000"))</f>
        <v>Prod-0337</v>
      </c>
      <c r="C337" t="s">
        <v>544</v>
      </c>
      <c r="D337" s="1"/>
      <c r="E337" s="1"/>
      <c r="F337">
        <v>2</v>
      </c>
      <c r="H337">
        <f>PRODUTOS[[#This Row],[Entrada]]-PRODUTOS[[#This Row],[Salidas]]</f>
        <v>2</v>
      </c>
    </row>
    <row r="338" spans="2:8" x14ac:dyDescent="0.25">
      <c r="B338" t="str">
        <f>_xlfn.CONCAT("Prod-",TEXT(ROW(B338),"0000"))</f>
        <v>Prod-0338</v>
      </c>
      <c r="C338" t="s">
        <v>604</v>
      </c>
      <c r="D338" s="1"/>
      <c r="E338" s="1"/>
      <c r="F338">
        <v>1</v>
      </c>
      <c r="H338">
        <f>PRODUTOS[[#This Row],[Entrada]]-PRODUTOS[[#This Row],[Salidas]]</f>
        <v>1</v>
      </c>
    </row>
    <row r="339" spans="2:8" x14ac:dyDescent="0.25">
      <c r="B339" t="str">
        <f>_xlfn.CONCAT("Prod-",TEXT(ROW(B339),"0000"))</f>
        <v>Prod-0339</v>
      </c>
      <c r="C339" t="s">
        <v>606</v>
      </c>
      <c r="D339" s="1"/>
      <c r="E339" s="1"/>
      <c r="F339">
        <v>2</v>
      </c>
      <c r="H339">
        <f>PRODUTOS[[#This Row],[Entrada]]-PRODUTOS[[#This Row],[Salidas]]</f>
        <v>2</v>
      </c>
    </row>
    <row r="340" spans="2:8" x14ac:dyDescent="0.25">
      <c r="B340" t="str">
        <f>_xlfn.CONCAT("Prod-",TEXT(ROW(B340),"0000"))</f>
        <v>Prod-0340</v>
      </c>
      <c r="C340" t="s">
        <v>446</v>
      </c>
      <c r="D340" s="1"/>
      <c r="E340" s="1"/>
      <c r="F340">
        <v>1</v>
      </c>
      <c r="H340">
        <f>PRODUTOS[[#This Row],[Entrada]]-PRODUTOS[[#This Row],[Salidas]]</f>
        <v>1</v>
      </c>
    </row>
    <row r="341" spans="2:8" x14ac:dyDescent="0.25">
      <c r="B341" t="str">
        <f>_xlfn.CONCAT("Prod-",TEXT(ROW(B341),"0000"))</f>
        <v>Prod-0341</v>
      </c>
      <c r="C341" t="s">
        <v>186</v>
      </c>
      <c r="D341" s="1"/>
      <c r="E341" s="1"/>
      <c r="F341">
        <v>7</v>
      </c>
      <c r="H341">
        <f>PRODUTOS[[#This Row],[Entrada]]-PRODUTOS[[#This Row],[Salidas]]</f>
        <v>7</v>
      </c>
    </row>
    <row r="342" spans="2:8" x14ac:dyDescent="0.25">
      <c r="B342" t="str">
        <f>_xlfn.CONCAT("Prod-",TEXT(ROW(B342),"0000"))</f>
        <v>Prod-0342</v>
      </c>
      <c r="C342" t="s">
        <v>46</v>
      </c>
      <c r="D342" s="1"/>
      <c r="E342" s="1"/>
      <c r="F342">
        <v>2</v>
      </c>
      <c r="H342">
        <f>PRODUTOS[[#This Row],[Entrada]]-PRODUTOS[[#This Row],[Salidas]]</f>
        <v>2</v>
      </c>
    </row>
    <row r="343" spans="2:8" x14ac:dyDescent="0.25">
      <c r="B343" t="str">
        <f>_xlfn.CONCAT("Prod-",TEXT(ROW(B343),"0000"))</f>
        <v>Prod-0343</v>
      </c>
      <c r="C343" t="s">
        <v>55</v>
      </c>
      <c r="D343" s="1"/>
      <c r="E343" s="1"/>
      <c r="F343">
        <v>11</v>
      </c>
      <c r="H343">
        <f>PRODUTOS[[#This Row],[Entrada]]-PRODUTOS[[#This Row],[Salidas]]</f>
        <v>11</v>
      </c>
    </row>
    <row r="344" spans="2:8" x14ac:dyDescent="0.25">
      <c r="B344" t="str">
        <f>_xlfn.CONCAT("Prod-",TEXT(ROW(B344),"0000"))</f>
        <v>Prod-0344</v>
      </c>
      <c r="C344" t="s">
        <v>44</v>
      </c>
      <c r="D344" s="1"/>
      <c r="E344" s="1"/>
      <c r="F344">
        <v>4</v>
      </c>
      <c r="H344">
        <f>PRODUTOS[[#This Row],[Entrada]]-PRODUTOS[[#This Row],[Salidas]]</f>
        <v>4</v>
      </c>
    </row>
    <row r="345" spans="2:8" x14ac:dyDescent="0.25">
      <c r="B345" t="str">
        <f>_xlfn.CONCAT("Prod-",TEXT(ROW(B345),"0000"))</f>
        <v>Prod-0345</v>
      </c>
      <c r="C345" t="s">
        <v>43</v>
      </c>
      <c r="D345" s="1"/>
      <c r="E345" s="1"/>
      <c r="F345">
        <v>2</v>
      </c>
      <c r="H345">
        <f>PRODUTOS[[#This Row],[Entrada]]-PRODUTOS[[#This Row],[Salidas]]</f>
        <v>2</v>
      </c>
    </row>
    <row r="346" spans="2:8" x14ac:dyDescent="0.25">
      <c r="B346" t="str">
        <f>_xlfn.CONCAT("Prod-",TEXT(ROW(B346),"0000"))</f>
        <v>Prod-0346</v>
      </c>
      <c r="C346" t="s">
        <v>151</v>
      </c>
      <c r="D346" s="1"/>
      <c r="E346" s="1"/>
      <c r="F346">
        <v>26</v>
      </c>
      <c r="H346">
        <f>PRODUTOS[[#This Row],[Entrada]]-PRODUTOS[[#This Row],[Salidas]]</f>
        <v>26</v>
      </c>
    </row>
    <row r="347" spans="2:8" x14ac:dyDescent="0.25">
      <c r="B347" t="str">
        <f>_xlfn.CONCAT("Prod-",TEXT(ROW(B347),"0000"))</f>
        <v>Prod-0347</v>
      </c>
      <c r="C347" t="s">
        <v>164</v>
      </c>
      <c r="D347" s="1"/>
      <c r="E347" s="1"/>
      <c r="F347">
        <v>2</v>
      </c>
      <c r="H347">
        <f>PRODUTOS[[#This Row],[Entrada]]-PRODUTOS[[#This Row],[Salidas]]</f>
        <v>2</v>
      </c>
    </row>
    <row r="348" spans="2:8" x14ac:dyDescent="0.25">
      <c r="B348" t="str">
        <f>_xlfn.CONCAT("Prod-",TEXT(ROW(B348),"0000"))</f>
        <v>Prod-0348</v>
      </c>
      <c r="C348" t="s">
        <v>69</v>
      </c>
      <c r="D348" s="1"/>
      <c r="E348" s="1"/>
      <c r="F348">
        <v>10</v>
      </c>
      <c r="H348">
        <f>PRODUTOS[[#This Row],[Entrada]]-PRODUTOS[[#This Row],[Salidas]]</f>
        <v>10</v>
      </c>
    </row>
    <row r="349" spans="2:8" x14ac:dyDescent="0.25">
      <c r="B349" t="str">
        <f>_xlfn.CONCAT("Prod-",TEXT(ROW(B349),"0000"))</f>
        <v>Prod-0349</v>
      </c>
      <c r="C349" t="s">
        <v>68</v>
      </c>
      <c r="D349" s="1"/>
      <c r="E349" s="1"/>
      <c r="F349">
        <v>7</v>
      </c>
      <c r="H349">
        <f>PRODUTOS[[#This Row],[Entrada]]-PRODUTOS[[#This Row],[Salidas]]</f>
        <v>7</v>
      </c>
    </row>
    <row r="350" spans="2:8" x14ac:dyDescent="0.25">
      <c r="B350" t="str">
        <f>_xlfn.CONCAT("Prod-",TEXT(ROW(B350),"0000"))</f>
        <v>Prod-0350</v>
      </c>
      <c r="C350" t="s">
        <v>533</v>
      </c>
      <c r="D350" s="1"/>
      <c r="E350" s="1"/>
      <c r="F350">
        <v>18</v>
      </c>
      <c r="H350">
        <f>PRODUTOS[[#This Row],[Entrada]]-PRODUTOS[[#This Row],[Salidas]]</f>
        <v>18</v>
      </c>
    </row>
    <row r="351" spans="2:8" x14ac:dyDescent="0.25">
      <c r="B351" t="str">
        <f>_xlfn.CONCAT("Prod-",TEXT(ROW(B351),"0000"))</f>
        <v>Prod-0351</v>
      </c>
      <c r="C351" t="s">
        <v>530</v>
      </c>
      <c r="D351" s="1"/>
      <c r="E351" s="1"/>
      <c r="F351">
        <v>22</v>
      </c>
      <c r="H351">
        <f>PRODUTOS[[#This Row],[Entrada]]-PRODUTOS[[#This Row],[Salidas]]</f>
        <v>22</v>
      </c>
    </row>
    <row r="352" spans="2:8" x14ac:dyDescent="0.25">
      <c r="B352" t="str">
        <f>_xlfn.CONCAT("Prod-",TEXT(ROW(B352),"0000"))</f>
        <v>Prod-0352</v>
      </c>
      <c r="C352" t="s">
        <v>557</v>
      </c>
      <c r="D352" s="1"/>
      <c r="E352" s="1"/>
      <c r="F352">
        <v>23</v>
      </c>
      <c r="H352">
        <f>PRODUTOS[[#This Row],[Entrada]]-PRODUTOS[[#This Row],[Salidas]]</f>
        <v>23</v>
      </c>
    </row>
    <row r="353" spans="2:8" x14ac:dyDescent="0.25">
      <c r="B353" t="str">
        <f>_xlfn.CONCAT("Prod-",TEXT(ROW(B353),"0000"))</f>
        <v>Prod-0353</v>
      </c>
      <c r="C353" t="s">
        <v>558</v>
      </c>
      <c r="D353" s="1"/>
      <c r="E353" s="1"/>
      <c r="F353">
        <v>16</v>
      </c>
      <c r="H353">
        <f>PRODUTOS[[#This Row],[Entrada]]-PRODUTOS[[#This Row],[Salidas]]</f>
        <v>16</v>
      </c>
    </row>
    <row r="354" spans="2:8" x14ac:dyDescent="0.25">
      <c r="B354" t="str">
        <f>_xlfn.CONCAT("Prod-",TEXT(ROW(B354),"0000"))</f>
        <v>Prod-0354</v>
      </c>
      <c r="C354" t="s">
        <v>560</v>
      </c>
      <c r="D354" s="1"/>
      <c r="E354" s="1"/>
      <c r="F354">
        <v>3</v>
      </c>
      <c r="H354">
        <f>PRODUTOS[[#This Row],[Entrada]]-PRODUTOS[[#This Row],[Salidas]]</f>
        <v>3</v>
      </c>
    </row>
    <row r="355" spans="2:8" x14ac:dyDescent="0.25">
      <c r="B355" t="str">
        <f>_xlfn.CONCAT("Prod-",TEXT(ROW(B355),"0000"))</f>
        <v>Prod-0355</v>
      </c>
      <c r="C355" t="s">
        <v>559</v>
      </c>
      <c r="D355" s="1"/>
      <c r="E355" s="1"/>
      <c r="F355">
        <v>21</v>
      </c>
      <c r="H355">
        <f>PRODUTOS[[#This Row],[Entrada]]-PRODUTOS[[#This Row],[Salidas]]</f>
        <v>21</v>
      </c>
    </row>
    <row r="356" spans="2:8" x14ac:dyDescent="0.25">
      <c r="B356" t="str">
        <f>_xlfn.CONCAT("Prod-",TEXT(ROW(B356),"0000"))</f>
        <v>Prod-0356</v>
      </c>
      <c r="C356" t="s">
        <v>534</v>
      </c>
      <c r="D356" s="1"/>
      <c r="E356" s="1"/>
      <c r="F356">
        <v>32</v>
      </c>
      <c r="H356">
        <f>PRODUTOS[[#This Row],[Entrada]]-PRODUTOS[[#This Row],[Salidas]]</f>
        <v>32</v>
      </c>
    </row>
    <row r="357" spans="2:8" x14ac:dyDescent="0.25">
      <c r="B357" t="str">
        <f>_xlfn.CONCAT("Prod-",TEXT(ROW(B357),"0000"))</f>
        <v>Prod-0357</v>
      </c>
      <c r="C357" t="s">
        <v>531</v>
      </c>
      <c r="D357" s="1"/>
      <c r="E357" s="1"/>
      <c r="F357">
        <v>40</v>
      </c>
      <c r="H357">
        <f>PRODUTOS[[#This Row],[Entrada]]-PRODUTOS[[#This Row],[Salidas]]</f>
        <v>40</v>
      </c>
    </row>
    <row r="358" spans="2:8" x14ac:dyDescent="0.25">
      <c r="B358" t="str">
        <f>_xlfn.CONCAT("Prod-",TEXT(ROW(B358),"0000"))</f>
        <v>Prod-0358</v>
      </c>
      <c r="C358" t="s">
        <v>532</v>
      </c>
      <c r="D358" s="1"/>
      <c r="E358" s="1"/>
      <c r="F358">
        <v>47</v>
      </c>
      <c r="H358">
        <f>PRODUTOS[[#This Row],[Entrada]]-PRODUTOS[[#This Row],[Salidas]]</f>
        <v>47</v>
      </c>
    </row>
    <row r="359" spans="2:8" x14ac:dyDescent="0.25">
      <c r="B359" t="str">
        <f>_xlfn.CONCAT("Prod-",TEXT(ROW(B359),"0000"))</f>
        <v>Prod-0359</v>
      </c>
      <c r="C359" t="s">
        <v>529</v>
      </c>
      <c r="D359" s="1"/>
      <c r="E359" s="1"/>
      <c r="F359">
        <v>14</v>
      </c>
      <c r="H359">
        <f>PRODUTOS[[#This Row],[Entrada]]-PRODUTOS[[#This Row],[Salidas]]</f>
        <v>14</v>
      </c>
    </row>
    <row r="360" spans="2:8" x14ac:dyDescent="0.25">
      <c r="B360" t="str">
        <f>_xlfn.CONCAT("Prod-",TEXT(ROW(B360),"0000"))</f>
        <v>Prod-0360</v>
      </c>
      <c r="C360" t="s">
        <v>527</v>
      </c>
      <c r="D360" s="1"/>
      <c r="E360" s="1"/>
      <c r="F360">
        <v>34</v>
      </c>
      <c r="H360">
        <f>PRODUTOS[[#This Row],[Entrada]]-PRODUTOS[[#This Row],[Salidas]]</f>
        <v>34</v>
      </c>
    </row>
    <row r="361" spans="2:8" x14ac:dyDescent="0.25">
      <c r="B361" t="str">
        <f>_xlfn.CONCAT("Prod-",TEXT(ROW(B361),"0000"))</f>
        <v>Prod-0361</v>
      </c>
      <c r="C361" t="s">
        <v>528</v>
      </c>
      <c r="D361" s="1"/>
      <c r="E361" s="1"/>
      <c r="F361">
        <v>21</v>
      </c>
      <c r="H361">
        <f>PRODUTOS[[#This Row],[Entrada]]-PRODUTOS[[#This Row],[Salidas]]</f>
        <v>21</v>
      </c>
    </row>
    <row r="362" spans="2:8" x14ac:dyDescent="0.25">
      <c r="B362" t="str">
        <f>_xlfn.CONCAT("Prod-",TEXT(ROW(B362),"0000"))</f>
        <v>Prod-0362</v>
      </c>
      <c r="C362" t="s">
        <v>526</v>
      </c>
      <c r="D362" s="1"/>
      <c r="E362" s="1"/>
      <c r="F362">
        <v>1</v>
      </c>
      <c r="H362">
        <f>PRODUTOS[[#This Row],[Entrada]]-PRODUTOS[[#This Row],[Salidas]]</f>
        <v>1</v>
      </c>
    </row>
    <row r="363" spans="2:8" x14ac:dyDescent="0.25">
      <c r="B363" t="str">
        <f>_xlfn.CONCAT("Prod-",TEXT(ROW(B363),"0000"))</f>
        <v>Prod-0363</v>
      </c>
      <c r="C363" t="s">
        <v>525</v>
      </c>
      <c r="D363" s="1"/>
      <c r="E363" s="1"/>
      <c r="F363">
        <v>8</v>
      </c>
      <c r="H363">
        <f>PRODUTOS[[#This Row],[Entrada]]-PRODUTOS[[#This Row],[Salidas]]</f>
        <v>8</v>
      </c>
    </row>
    <row r="364" spans="2:8" x14ac:dyDescent="0.25">
      <c r="B364" t="str">
        <f>_xlfn.CONCAT("Prod-",TEXT(ROW(B364),"0000"))</f>
        <v>Prod-0364</v>
      </c>
      <c r="C364" t="s">
        <v>40</v>
      </c>
      <c r="D364" s="1"/>
      <c r="E364" s="1"/>
      <c r="F364">
        <v>6</v>
      </c>
      <c r="H364">
        <f>PRODUTOS[[#This Row],[Entrada]]-PRODUTOS[[#This Row],[Salidas]]</f>
        <v>6</v>
      </c>
    </row>
    <row r="365" spans="2:8" x14ac:dyDescent="0.25">
      <c r="B365" t="str">
        <f>_xlfn.CONCAT("Prod-",TEXT(ROW(B365),"0000"))</f>
        <v>Prod-0365</v>
      </c>
      <c r="C365" t="s">
        <v>396</v>
      </c>
      <c r="D365" s="1"/>
      <c r="E365" s="1"/>
      <c r="F365">
        <v>6</v>
      </c>
      <c r="G365">
        <v>0</v>
      </c>
      <c r="H365">
        <f>PRODUTOS[[#This Row],[Entrada]]-PRODUTOS[[#This Row],[Salidas]]</f>
        <v>6</v>
      </c>
    </row>
    <row r="366" spans="2:8" x14ac:dyDescent="0.25">
      <c r="B366" t="str">
        <f>_xlfn.CONCAT("Prod-",TEXT(ROW(B366),"0000"))</f>
        <v>Prod-0366</v>
      </c>
      <c r="C366" t="s">
        <v>397</v>
      </c>
      <c r="D366" s="1"/>
      <c r="E366" s="1"/>
      <c r="F366">
        <v>9</v>
      </c>
      <c r="H366">
        <f>PRODUTOS[[#This Row],[Entrada]]-PRODUTOS[[#This Row],[Salidas]]</f>
        <v>9</v>
      </c>
    </row>
    <row r="367" spans="2:8" x14ac:dyDescent="0.25">
      <c r="B367" t="str">
        <f>_xlfn.CONCAT("Prod-",TEXT(ROW(B367),"0000"))</f>
        <v>Prod-0367</v>
      </c>
      <c r="C367" t="s">
        <v>243</v>
      </c>
      <c r="D367" s="1"/>
      <c r="E367" s="1"/>
      <c r="F367">
        <v>11</v>
      </c>
      <c r="H367">
        <f>PRODUTOS[[#This Row],[Entrada]]-PRODUTOS[[#This Row],[Salidas]]</f>
        <v>11</v>
      </c>
    </row>
    <row r="368" spans="2:8" x14ac:dyDescent="0.25">
      <c r="B368" t="str">
        <f>_xlfn.CONCAT("Prod-",TEXT(ROW(B368),"0000"))</f>
        <v>Prod-0368</v>
      </c>
      <c r="C368" t="s">
        <v>404</v>
      </c>
      <c r="D368" s="1"/>
      <c r="E368" s="1"/>
      <c r="F368">
        <v>10</v>
      </c>
      <c r="H368">
        <f>PRODUTOS[[#This Row],[Entrada]]-PRODUTOS[[#This Row],[Salidas]]</f>
        <v>10</v>
      </c>
    </row>
    <row r="369" spans="2:8" x14ac:dyDescent="0.25">
      <c r="B369" t="str">
        <f>_xlfn.CONCAT("Prod-",TEXT(ROW(B369),"0000"))</f>
        <v>Prod-0369</v>
      </c>
      <c r="C369" t="s">
        <v>403</v>
      </c>
      <c r="D369" s="1"/>
      <c r="E369" s="1"/>
      <c r="F369">
        <v>5</v>
      </c>
      <c r="H369">
        <f>PRODUTOS[[#This Row],[Entrada]]-PRODUTOS[[#This Row],[Salidas]]</f>
        <v>5</v>
      </c>
    </row>
    <row r="370" spans="2:8" x14ac:dyDescent="0.25">
      <c r="B370" t="str">
        <f>_xlfn.CONCAT("Prod-",TEXT(ROW(B370),"0000"))</f>
        <v>Prod-0370</v>
      </c>
      <c r="C370" t="s">
        <v>399</v>
      </c>
      <c r="D370" s="1"/>
      <c r="E370" s="1"/>
      <c r="F370">
        <v>13</v>
      </c>
      <c r="H370">
        <f>PRODUTOS[[#This Row],[Entrada]]-PRODUTOS[[#This Row],[Salidas]]</f>
        <v>13</v>
      </c>
    </row>
    <row r="371" spans="2:8" x14ac:dyDescent="0.25">
      <c r="B371" t="str">
        <f>_xlfn.CONCAT("Prod-",TEXT(ROW(B371),"0000"))</f>
        <v>Prod-0371</v>
      </c>
      <c r="C371" t="s">
        <v>402</v>
      </c>
      <c r="D371" s="1"/>
      <c r="E371" s="1"/>
      <c r="F371">
        <v>9</v>
      </c>
      <c r="H371">
        <f>PRODUTOS[[#This Row],[Entrada]]-PRODUTOS[[#This Row],[Salidas]]</f>
        <v>9</v>
      </c>
    </row>
    <row r="372" spans="2:8" x14ac:dyDescent="0.25">
      <c r="B372" t="str">
        <f>_xlfn.CONCAT("Prod-",TEXT(ROW(B372),"0000"))</f>
        <v>Prod-0372</v>
      </c>
      <c r="C372" t="s">
        <v>401</v>
      </c>
      <c r="D372" s="1"/>
      <c r="E372" s="1"/>
      <c r="F372">
        <v>2</v>
      </c>
      <c r="H372">
        <f>PRODUTOS[[#This Row],[Entrada]]-PRODUTOS[[#This Row],[Salidas]]</f>
        <v>2</v>
      </c>
    </row>
    <row r="373" spans="2:8" x14ac:dyDescent="0.25">
      <c r="B373" t="str">
        <f>_xlfn.CONCAT("Prod-",TEXT(ROW(B373),"0000"))</f>
        <v>Prod-0373</v>
      </c>
      <c r="C373" t="s">
        <v>405</v>
      </c>
      <c r="D373" s="1"/>
      <c r="E373" s="1"/>
      <c r="F373">
        <v>1</v>
      </c>
      <c r="H373">
        <f>PRODUTOS[[#This Row],[Entrada]]-PRODUTOS[[#This Row],[Salidas]]</f>
        <v>1</v>
      </c>
    </row>
    <row r="374" spans="2:8" x14ac:dyDescent="0.25">
      <c r="B374" t="str">
        <f>_xlfn.CONCAT("Prod-",TEXT(ROW(B374),"0000"))</f>
        <v>Prod-0374</v>
      </c>
      <c r="C374" t="s">
        <v>406</v>
      </c>
      <c r="D374" s="1"/>
      <c r="E374" s="1"/>
      <c r="F374">
        <v>2</v>
      </c>
      <c r="H374">
        <f>PRODUTOS[[#This Row],[Entrada]]-PRODUTOS[[#This Row],[Salidas]]</f>
        <v>2</v>
      </c>
    </row>
    <row r="375" spans="2:8" x14ac:dyDescent="0.25">
      <c r="B375" t="str">
        <f>_xlfn.CONCAT("Prod-",TEXT(ROW(B375),"0000"))</f>
        <v>Prod-0375</v>
      </c>
      <c r="C375" t="s">
        <v>408</v>
      </c>
      <c r="D375" s="1"/>
      <c r="E375" s="1"/>
      <c r="F375">
        <v>2</v>
      </c>
      <c r="H375">
        <f>PRODUTOS[[#This Row],[Entrada]]-PRODUTOS[[#This Row],[Salidas]]</f>
        <v>2</v>
      </c>
    </row>
    <row r="376" spans="2:8" x14ac:dyDescent="0.25">
      <c r="B376" t="str">
        <f>_xlfn.CONCAT("Prod-",TEXT(ROW(B376),"0000"))</f>
        <v>Prod-0376</v>
      </c>
      <c r="C376" t="s">
        <v>398</v>
      </c>
      <c r="D376" s="1"/>
      <c r="E376" s="1"/>
      <c r="F376">
        <v>2</v>
      </c>
      <c r="H376">
        <f>PRODUTOS[[#This Row],[Entrada]]-PRODUTOS[[#This Row],[Salidas]]</f>
        <v>2</v>
      </c>
    </row>
    <row r="377" spans="2:8" x14ac:dyDescent="0.25">
      <c r="B377" t="str">
        <f>_xlfn.CONCAT("Prod-",TEXT(ROW(B377),"0000"))</f>
        <v>Prod-0377</v>
      </c>
      <c r="C377" t="s">
        <v>407</v>
      </c>
      <c r="D377" s="1"/>
      <c r="E377" s="1"/>
      <c r="F377">
        <v>1</v>
      </c>
      <c r="H377">
        <f>PRODUTOS[[#This Row],[Entrada]]-PRODUTOS[[#This Row],[Salidas]]</f>
        <v>1</v>
      </c>
    </row>
    <row r="378" spans="2:8" x14ac:dyDescent="0.25">
      <c r="B378" t="str">
        <f>_xlfn.CONCAT("Prod-",TEXT(ROW(B378),"0000"))</f>
        <v>Prod-0378</v>
      </c>
      <c r="C378" t="s">
        <v>400</v>
      </c>
      <c r="D378" s="1"/>
      <c r="E378" s="1"/>
      <c r="F378">
        <v>2</v>
      </c>
      <c r="H378">
        <f>PRODUTOS[[#This Row],[Entrada]]-PRODUTOS[[#This Row],[Salidas]]</f>
        <v>2</v>
      </c>
    </row>
    <row r="379" spans="2:8" x14ac:dyDescent="0.25">
      <c r="B379" t="str">
        <f>_xlfn.CONCAT("Prod-",TEXT(ROW(B379),"0000"))</f>
        <v>Prod-0379</v>
      </c>
      <c r="C379" t="s">
        <v>548</v>
      </c>
      <c r="D379" s="1"/>
      <c r="E379" s="1"/>
      <c r="F379">
        <v>1</v>
      </c>
      <c r="H379">
        <f>PRODUTOS[[#This Row],[Entrada]]-PRODUTOS[[#This Row],[Salidas]]</f>
        <v>1</v>
      </c>
    </row>
    <row r="380" spans="2:8" x14ac:dyDescent="0.25">
      <c r="B380" t="str">
        <f>_xlfn.CONCAT("Prod-",TEXT(ROW(B380),"0000"))</f>
        <v>Prod-0380</v>
      </c>
      <c r="C380" t="s">
        <v>187</v>
      </c>
      <c r="D380" s="1"/>
      <c r="E380" s="1"/>
      <c r="F380">
        <v>1</v>
      </c>
      <c r="H380">
        <f>PRODUTOS[[#This Row],[Entrada]]-PRODUTOS[[#This Row],[Salidas]]</f>
        <v>1</v>
      </c>
    </row>
    <row r="381" spans="2:8" x14ac:dyDescent="0.25">
      <c r="B381" t="str">
        <f>_xlfn.CONCAT("Prod-",TEXT(ROW(B381),"0000"))</f>
        <v>Prod-0381</v>
      </c>
      <c r="C381" t="s">
        <v>188</v>
      </c>
      <c r="D381" s="1"/>
      <c r="E381" s="1"/>
      <c r="F381">
        <v>1</v>
      </c>
      <c r="H381">
        <f>PRODUTOS[[#This Row],[Entrada]]-PRODUTOS[[#This Row],[Salidas]]</f>
        <v>1</v>
      </c>
    </row>
    <row r="382" spans="2:8" x14ac:dyDescent="0.25">
      <c r="B382" t="str">
        <f>_xlfn.CONCAT("Prod-",TEXT(ROW(B382),"0000"))</f>
        <v>Prod-0382</v>
      </c>
      <c r="C382" t="s">
        <v>574</v>
      </c>
      <c r="D382" s="1"/>
      <c r="E382" s="1"/>
      <c r="F382">
        <v>1</v>
      </c>
      <c r="H382">
        <f>PRODUTOS[[#This Row],[Entrada]]-PRODUTOS[[#This Row],[Salidas]]</f>
        <v>1</v>
      </c>
    </row>
    <row r="383" spans="2:8" x14ac:dyDescent="0.25">
      <c r="B383" t="str">
        <f>_xlfn.CONCAT("Prod-",TEXT(ROW(B383),"0000"))</f>
        <v>Prod-0383</v>
      </c>
      <c r="C383" t="s">
        <v>184</v>
      </c>
      <c r="D383" s="1"/>
      <c r="E383" s="1"/>
      <c r="F383">
        <v>3</v>
      </c>
      <c r="H383">
        <f>PRODUTOS[[#This Row],[Entrada]]-PRODUTOS[[#This Row],[Salidas]]</f>
        <v>3</v>
      </c>
    </row>
    <row r="384" spans="2:8" x14ac:dyDescent="0.25">
      <c r="B384" t="str">
        <f>_xlfn.CONCAT("Prod-",TEXT(ROW(B384),"0000"))</f>
        <v>Prod-0384</v>
      </c>
      <c r="C384" t="s">
        <v>546</v>
      </c>
      <c r="D384" s="1"/>
      <c r="E384" s="1"/>
      <c r="F384">
        <v>2</v>
      </c>
      <c r="H384">
        <f>PRODUTOS[[#This Row],[Entrada]]-PRODUTOS[[#This Row],[Salidas]]</f>
        <v>2</v>
      </c>
    </row>
    <row r="385" spans="2:8" x14ac:dyDescent="0.25">
      <c r="B385" t="str">
        <f>_xlfn.CONCAT("Prod-",TEXT(ROW(B385),"0000"))</f>
        <v>Prod-0385</v>
      </c>
      <c r="C385" t="s">
        <v>165</v>
      </c>
      <c r="D385" s="1"/>
      <c r="E385" s="1"/>
      <c r="F385">
        <v>4</v>
      </c>
      <c r="H385">
        <f>PRODUTOS[[#This Row],[Entrada]]-PRODUTOS[[#This Row],[Salidas]]</f>
        <v>4</v>
      </c>
    </row>
    <row r="386" spans="2:8" x14ac:dyDescent="0.25">
      <c r="B386" t="str">
        <f>_xlfn.CONCAT("Prod-",TEXT(ROW(B386),"0000"))</f>
        <v>Prod-0386</v>
      </c>
      <c r="C386" t="s">
        <v>194</v>
      </c>
      <c r="D386" s="1"/>
      <c r="E386" s="1"/>
      <c r="F386">
        <v>7</v>
      </c>
      <c r="H386">
        <f>PRODUTOS[[#This Row],[Entrada]]-PRODUTOS[[#This Row],[Salidas]]</f>
        <v>7</v>
      </c>
    </row>
    <row r="387" spans="2:8" x14ac:dyDescent="0.25">
      <c r="B387" t="str">
        <f>_xlfn.CONCAT("Prod-",TEXT(ROW(B387),"0000"))</f>
        <v>Prod-0387</v>
      </c>
      <c r="C387" t="s">
        <v>441</v>
      </c>
      <c r="D387" s="1"/>
      <c r="E387" s="1"/>
      <c r="F387">
        <v>10</v>
      </c>
      <c r="H387">
        <f>PRODUTOS[[#This Row],[Entrada]]-PRODUTOS[[#This Row],[Salidas]]</f>
        <v>10</v>
      </c>
    </row>
    <row r="388" spans="2:8" x14ac:dyDescent="0.25">
      <c r="B388" t="str">
        <f>_xlfn.CONCAT("Prod-",TEXT(ROW(B388),"0000"))</f>
        <v>Prod-0388</v>
      </c>
      <c r="C388" t="s">
        <v>661</v>
      </c>
      <c r="D388" s="1">
        <v>0.34704000000000002</v>
      </c>
      <c r="E388" s="1">
        <v>0.75</v>
      </c>
      <c r="F388">
        <v>12</v>
      </c>
      <c r="H388">
        <f>PRODUTOS[[#This Row],[Entrada]]-PRODUTOS[[#This Row],[Salidas]]</f>
        <v>12</v>
      </c>
    </row>
    <row r="389" spans="2:8" x14ac:dyDescent="0.25">
      <c r="B389" t="str">
        <f>_xlfn.CONCAT("Prod-",TEXT(ROW(B389),"0000"))</f>
        <v>Prod-0389</v>
      </c>
      <c r="C389" t="s">
        <v>662</v>
      </c>
      <c r="D389" s="1">
        <v>0.35</v>
      </c>
      <c r="E389" s="1">
        <v>0.75</v>
      </c>
      <c r="F389">
        <v>12</v>
      </c>
      <c r="H389">
        <f>PRODUTOS[[#This Row],[Entrada]]-PRODUTOS[[#This Row],[Salidas]]</f>
        <v>12</v>
      </c>
    </row>
    <row r="390" spans="2:8" x14ac:dyDescent="0.25">
      <c r="B390" t="str">
        <f>_xlfn.CONCAT("Prod-",TEXT(ROW(B390),"0000"))</f>
        <v>Prod-0390</v>
      </c>
      <c r="C390" t="s">
        <v>413</v>
      </c>
      <c r="D390" s="1"/>
      <c r="E390" s="1"/>
      <c r="F390">
        <v>7</v>
      </c>
      <c r="H390">
        <f>PRODUTOS[[#This Row],[Entrada]]-PRODUTOS[[#This Row],[Salidas]]</f>
        <v>7</v>
      </c>
    </row>
    <row r="391" spans="2:8" x14ac:dyDescent="0.25">
      <c r="B391" t="str">
        <f>_xlfn.CONCAT("Prod-",TEXT(ROW(B391),"0000"))</f>
        <v>Prod-0391</v>
      </c>
      <c r="C391" t="s">
        <v>412</v>
      </c>
      <c r="D391" s="1"/>
      <c r="E391" s="1"/>
      <c r="F391">
        <v>2</v>
      </c>
      <c r="H391">
        <f>PRODUTOS[[#This Row],[Entrada]]-PRODUTOS[[#This Row],[Salidas]]</f>
        <v>2</v>
      </c>
    </row>
    <row r="392" spans="2:8" x14ac:dyDescent="0.25">
      <c r="B392" t="str">
        <f>_xlfn.CONCAT("Prod-",TEXT(ROW(B392),"0000"))</f>
        <v>Prod-0392</v>
      </c>
      <c r="C392" t="s">
        <v>411</v>
      </c>
      <c r="D392" s="1"/>
      <c r="E392" s="1"/>
      <c r="F392">
        <v>1</v>
      </c>
      <c r="H392">
        <f>PRODUTOS[[#This Row],[Entrada]]-PRODUTOS[[#This Row],[Salidas]]</f>
        <v>1</v>
      </c>
    </row>
    <row r="393" spans="2:8" x14ac:dyDescent="0.25">
      <c r="B393" t="str">
        <f>_xlfn.CONCAT("Prod-",TEXT(ROW(B393),"0000"))</f>
        <v>Prod-0393</v>
      </c>
      <c r="C393" t="s">
        <v>391</v>
      </c>
      <c r="D393" s="1"/>
      <c r="E393" s="1"/>
      <c r="F393">
        <v>1</v>
      </c>
      <c r="H393">
        <f>PRODUTOS[[#This Row],[Entrada]]-PRODUTOS[[#This Row],[Salidas]]</f>
        <v>1</v>
      </c>
    </row>
    <row r="394" spans="2:8" x14ac:dyDescent="0.25">
      <c r="B394" t="str">
        <f>_xlfn.CONCAT("Prod-",TEXT(ROW(B394),"0000"))</f>
        <v>Prod-0394</v>
      </c>
      <c r="C394" t="s">
        <v>425</v>
      </c>
      <c r="D394" s="1"/>
      <c r="E394" s="1"/>
      <c r="F394">
        <v>1</v>
      </c>
      <c r="H394">
        <f>PRODUTOS[[#This Row],[Entrada]]-PRODUTOS[[#This Row],[Salidas]]</f>
        <v>1</v>
      </c>
    </row>
    <row r="395" spans="2:8" x14ac:dyDescent="0.25">
      <c r="B395" t="str">
        <f>_xlfn.CONCAT("Prod-",TEXT(ROW(B395),"0000"))</f>
        <v>Prod-0395</v>
      </c>
      <c r="C395" t="s">
        <v>212</v>
      </c>
      <c r="D395" s="1"/>
      <c r="E395" s="1"/>
      <c r="F395">
        <v>6</v>
      </c>
      <c r="H395">
        <f>PRODUTOS[[#This Row],[Entrada]]-PRODUTOS[[#This Row],[Salidas]]</f>
        <v>6</v>
      </c>
    </row>
    <row r="396" spans="2:8" x14ac:dyDescent="0.25">
      <c r="B396" t="str">
        <f>_xlfn.CONCAT("Prod-",TEXT(ROW(B396),"0000"))</f>
        <v>Prod-0396</v>
      </c>
      <c r="C396" t="s">
        <v>213</v>
      </c>
      <c r="D396" s="1"/>
      <c r="E396" s="1"/>
      <c r="F396">
        <v>5</v>
      </c>
      <c r="H396">
        <f>PRODUTOS[[#This Row],[Entrada]]-PRODUTOS[[#This Row],[Salidas]]</f>
        <v>5</v>
      </c>
    </row>
    <row r="397" spans="2:8" x14ac:dyDescent="0.25">
      <c r="B397" t="str">
        <f>_xlfn.CONCAT("Prod-",TEXT(ROW(B397),"0000"))</f>
        <v>Prod-0397</v>
      </c>
      <c r="C397" t="s">
        <v>150</v>
      </c>
      <c r="D397" s="1"/>
      <c r="E397" s="1"/>
      <c r="F397">
        <v>4</v>
      </c>
      <c r="H397">
        <f>PRODUTOS[[#This Row],[Entrada]]-PRODUTOS[[#This Row],[Salidas]]</f>
        <v>4</v>
      </c>
    </row>
    <row r="398" spans="2:8" x14ac:dyDescent="0.25">
      <c r="B398" t="str">
        <f>_xlfn.CONCAT("Prod-",TEXT(ROW(B398),"0000"))</f>
        <v>Prod-0398</v>
      </c>
      <c r="C398" t="s">
        <v>344</v>
      </c>
      <c r="D398" s="1"/>
      <c r="E398" s="1"/>
      <c r="F398">
        <v>1</v>
      </c>
      <c r="H398">
        <f>PRODUTOS[[#This Row],[Entrada]]-PRODUTOS[[#This Row],[Salidas]]</f>
        <v>1</v>
      </c>
    </row>
    <row r="399" spans="2:8" x14ac:dyDescent="0.25">
      <c r="B399" t="str">
        <f>_xlfn.CONCAT("Prod-",TEXT(ROW(B399),"0000"))</f>
        <v>Prod-0399</v>
      </c>
      <c r="C399" t="s">
        <v>345</v>
      </c>
      <c r="D399" s="1"/>
      <c r="E399" s="1"/>
      <c r="F399">
        <v>1</v>
      </c>
      <c r="H399">
        <f>PRODUTOS[[#This Row],[Entrada]]-PRODUTOS[[#This Row],[Salidas]]</f>
        <v>1</v>
      </c>
    </row>
    <row r="400" spans="2:8" x14ac:dyDescent="0.25">
      <c r="B400" t="str">
        <f>_xlfn.CONCAT("Prod-",TEXT(ROW(B400),"0000"))</f>
        <v>Prod-0400</v>
      </c>
      <c r="C400" t="s">
        <v>392</v>
      </c>
      <c r="D400" s="1"/>
      <c r="E400" s="1"/>
      <c r="F400">
        <v>1</v>
      </c>
      <c r="H400">
        <f>PRODUTOS[[#This Row],[Entrada]]-PRODUTOS[[#This Row],[Salidas]]</f>
        <v>1</v>
      </c>
    </row>
    <row r="401" spans="2:8" x14ac:dyDescent="0.25">
      <c r="B401" t="str">
        <f>_xlfn.CONCAT("Prod-",TEXT(ROW(B401),"0000"))</f>
        <v>Prod-0401</v>
      </c>
      <c r="C401" t="s">
        <v>76</v>
      </c>
      <c r="D401" s="1"/>
      <c r="E401" s="1"/>
      <c r="F401">
        <v>10</v>
      </c>
      <c r="H401">
        <f>PRODUTOS[[#This Row],[Entrada]]-PRODUTOS[[#This Row],[Salidas]]</f>
        <v>10</v>
      </c>
    </row>
    <row r="402" spans="2:8" x14ac:dyDescent="0.25">
      <c r="B402" t="str">
        <f>_xlfn.CONCAT("Prod-",TEXT(ROW(B402),"0000"))</f>
        <v>Prod-0402</v>
      </c>
      <c r="C402" t="s">
        <v>99</v>
      </c>
      <c r="D402" s="1"/>
      <c r="E402" s="1"/>
      <c r="F402">
        <v>3</v>
      </c>
      <c r="H402">
        <f>PRODUTOS[[#This Row],[Entrada]]-PRODUTOS[[#This Row],[Salidas]]</f>
        <v>3</v>
      </c>
    </row>
    <row r="403" spans="2:8" x14ac:dyDescent="0.25">
      <c r="B403" t="str">
        <f>_xlfn.CONCAT("Prod-",TEXT(ROW(B403),"0000"))</f>
        <v>Prod-0403</v>
      </c>
      <c r="C403" t="s">
        <v>59</v>
      </c>
      <c r="D403" s="1">
        <v>0.28739999999999999</v>
      </c>
      <c r="E403" s="1">
        <v>0.5</v>
      </c>
      <c r="F403">
        <v>26</v>
      </c>
      <c r="H403">
        <f>PRODUTOS[[#This Row],[Entrada]]-PRODUTOS[[#This Row],[Salidas]]</f>
        <v>26</v>
      </c>
    </row>
    <row r="404" spans="2:8" x14ac:dyDescent="0.25">
      <c r="B404" t="str">
        <f>_xlfn.CONCAT("Prod-",TEXT(ROW(B404),"0000"))</f>
        <v>Prod-0404</v>
      </c>
      <c r="C404" t="s">
        <v>31</v>
      </c>
      <c r="D404" s="1"/>
      <c r="E404" s="1"/>
      <c r="F404">
        <v>18</v>
      </c>
      <c r="H404">
        <f>PRODUTOS[[#This Row],[Entrada]]-PRODUTOS[[#This Row],[Salidas]]</f>
        <v>18</v>
      </c>
    </row>
    <row r="405" spans="2:8" x14ac:dyDescent="0.25">
      <c r="B405" t="str">
        <f>_xlfn.CONCAT("Prod-",TEXT(ROW(B405),"0000"))</f>
        <v>Prod-0405</v>
      </c>
      <c r="C405" t="s">
        <v>32</v>
      </c>
      <c r="D405" s="1"/>
      <c r="E405" s="1"/>
      <c r="F405">
        <v>18</v>
      </c>
      <c r="H405">
        <f>PRODUTOS[[#This Row],[Entrada]]-PRODUTOS[[#This Row],[Salidas]]</f>
        <v>18</v>
      </c>
    </row>
    <row r="406" spans="2:8" x14ac:dyDescent="0.25">
      <c r="B406" t="str">
        <f>_xlfn.CONCAT("Prod-",TEXT(ROW(B406),"0000"))</f>
        <v>Prod-0406</v>
      </c>
      <c r="C406" t="s">
        <v>29</v>
      </c>
      <c r="D406" s="1">
        <v>0.19367999999999999</v>
      </c>
      <c r="E406" s="1">
        <v>0.5</v>
      </c>
      <c r="F406" t="s">
        <v>665</v>
      </c>
      <c r="H406" t="e">
        <f>PRODUTOS[[#This Row],[Entrada]]-PRODUTOS[[#This Row],[Salidas]]</f>
        <v>#VALUE!</v>
      </c>
    </row>
    <row r="407" spans="2:8" x14ac:dyDescent="0.25">
      <c r="B407" t="str">
        <f>_xlfn.CONCAT("Prod-",TEXT(ROW(B407),"0000"))</f>
        <v>Prod-0407</v>
      </c>
      <c r="C407" t="s">
        <v>30</v>
      </c>
      <c r="D407" s="1"/>
      <c r="E407" s="1"/>
      <c r="F407">
        <v>43</v>
      </c>
      <c r="H407">
        <f>PRODUTOS[[#This Row],[Entrada]]-PRODUTOS[[#This Row],[Salidas]]</f>
        <v>43</v>
      </c>
    </row>
    <row r="408" spans="2:8" x14ac:dyDescent="0.25">
      <c r="B408" t="str">
        <f>_xlfn.CONCAT("Prod-",TEXT(ROW(B408),"0000"))</f>
        <v>Prod-0408</v>
      </c>
      <c r="C408" t="s">
        <v>61</v>
      </c>
      <c r="D408" s="1"/>
      <c r="E408" s="1"/>
      <c r="F408">
        <v>13</v>
      </c>
      <c r="H408">
        <f>PRODUTOS[[#This Row],[Entrada]]-PRODUTOS[[#This Row],[Salidas]]</f>
        <v>13</v>
      </c>
    </row>
    <row r="409" spans="2:8" x14ac:dyDescent="0.25">
      <c r="B409" t="str">
        <f>_xlfn.CONCAT("Prod-",TEXT(ROW(B409),"0000"))</f>
        <v>Prod-0409</v>
      </c>
      <c r="C409" t="s">
        <v>64</v>
      </c>
      <c r="D409" s="1"/>
      <c r="E409" s="1"/>
      <c r="F409">
        <v>26</v>
      </c>
      <c r="H409">
        <f>PRODUTOS[[#This Row],[Entrada]]-PRODUTOS[[#This Row],[Salidas]]</f>
        <v>26</v>
      </c>
    </row>
    <row r="410" spans="2:8" x14ac:dyDescent="0.25">
      <c r="B410" s="6" t="str">
        <f>_xlfn.CONCAT("Prod-",TEXT(ROW(B410),"0000"))</f>
        <v>Prod-0410</v>
      </c>
      <c r="C410" t="s">
        <v>676</v>
      </c>
      <c r="D410" s="1"/>
      <c r="E410" s="1">
        <v>7.15</v>
      </c>
      <c r="F410">
        <v>1</v>
      </c>
      <c r="H410" s="6">
        <f>PRODUTOS[[#This Row],[Entrada]]-PRODUTOS[[#This Row],[Salidas]]</f>
        <v>1</v>
      </c>
    </row>
    <row r="411" spans="2:8" x14ac:dyDescent="0.25">
      <c r="B411" t="str">
        <f>_xlfn.CONCAT("Prod-",TEXT(ROW(B411),"0000"))</f>
        <v>Prod-0411</v>
      </c>
      <c r="C411" t="s">
        <v>265</v>
      </c>
      <c r="D411" s="1"/>
      <c r="E411" s="1"/>
      <c r="F411">
        <v>4</v>
      </c>
      <c r="H411">
        <f>PRODUTOS[[#This Row],[Entrada]]-PRODUTOS[[#This Row],[Salidas]]</f>
        <v>4</v>
      </c>
    </row>
    <row r="412" spans="2:8" x14ac:dyDescent="0.25">
      <c r="B412" t="str">
        <f>_xlfn.CONCAT("Prod-",TEXT(ROW(B412),"0000"))</f>
        <v>Prod-0412</v>
      </c>
      <c r="C412" t="s">
        <v>545</v>
      </c>
      <c r="D412" s="1"/>
      <c r="E412" s="1"/>
      <c r="F412">
        <v>4</v>
      </c>
      <c r="H412">
        <f>PRODUTOS[[#This Row],[Entrada]]-PRODUTOS[[#This Row],[Salidas]]</f>
        <v>4</v>
      </c>
    </row>
    <row r="413" spans="2:8" x14ac:dyDescent="0.25">
      <c r="B413" t="str">
        <f>_xlfn.CONCAT("Prod-",TEXT(ROW(B413),"0000"))</f>
        <v>Prod-0413</v>
      </c>
      <c r="C413" t="s">
        <v>409</v>
      </c>
      <c r="D413" s="1"/>
      <c r="E413" s="1"/>
      <c r="F413">
        <v>6</v>
      </c>
      <c r="H413">
        <f>PRODUTOS[[#This Row],[Entrada]]-PRODUTOS[[#This Row],[Salidas]]</f>
        <v>6</v>
      </c>
    </row>
    <row r="414" spans="2:8" x14ac:dyDescent="0.25">
      <c r="B414" t="str">
        <f>_xlfn.CONCAT("Prod-",TEXT(ROW(B414),"0000"))</f>
        <v>Prod-0414</v>
      </c>
      <c r="C414" t="s">
        <v>410</v>
      </c>
      <c r="D414" s="1"/>
      <c r="E414" s="1"/>
      <c r="F414">
        <v>3</v>
      </c>
      <c r="H414">
        <f>PRODUTOS[[#This Row],[Entrada]]-PRODUTOS[[#This Row],[Salidas]]</f>
        <v>3</v>
      </c>
    </row>
    <row r="415" spans="2:8" x14ac:dyDescent="0.25">
      <c r="B415" t="str">
        <f>_xlfn.CONCAT("Prod-",TEXT(ROW(B415),"0000"))</f>
        <v>Prod-0415</v>
      </c>
      <c r="C415" t="s">
        <v>537</v>
      </c>
      <c r="D415" s="1"/>
      <c r="E415" s="1"/>
      <c r="F415">
        <v>3</v>
      </c>
      <c r="H415">
        <f>PRODUTOS[[#This Row],[Entrada]]-PRODUTOS[[#This Row],[Salidas]]</f>
        <v>3</v>
      </c>
    </row>
    <row r="416" spans="2:8" x14ac:dyDescent="0.25">
      <c r="B416" t="str">
        <f>_xlfn.CONCAT("Prod-",TEXT(ROW(B416),"0000"))</f>
        <v>Prod-0416</v>
      </c>
      <c r="C416" t="s">
        <v>467</v>
      </c>
      <c r="D416" s="1"/>
      <c r="E416" s="1"/>
      <c r="F416">
        <v>8</v>
      </c>
      <c r="H416">
        <f>PRODUTOS[[#This Row],[Entrada]]-PRODUTOS[[#This Row],[Salidas]]</f>
        <v>8</v>
      </c>
    </row>
    <row r="417" spans="2:8" x14ac:dyDescent="0.25">
      <c r="B417" t="str">
        <f>_xlfn.CONCAT("Prod-",TEXT(ROW(B417),"0000"))</f>
        <v>Prod-0417</v>
      </c>
      <c r="C417" t="s">
        <v>474</v>
      </c>
      <c r="D417" s="1"/>
      <c r="E417" s="1"/>
      <c r="F417">
        <v>2</v>
      </c>
      <c r="H417">
        <f>PRODUTOS[[#This Row],[Entrada]]-PRODUTOS[[#This Row],[Salidas]]</f>
        <v>2</v>
      </c>
    </row>
    <row r="418" spans="2:8" x14ac:dyDescent="0.25">
      <c r="B418" t="str">
        <f>_xlfn.CONCAT("Prod-",TEXT(ROW(B418),"0000"))</f>
        <v>Prod-0418</v>
      </c>
      <c r="C418" t="s">
        <v>50</v>
      </c>
      <c r="D418" s="1"/>
      <c r="E418" s="1"/>
      <c r="F418">
        <v>3</v>
      </c>
      <c r="H418">
        <f>PRODUTOS[[#This Row],[Entrada]]-PRODUTOS[[#This Row],[Salidas]]</f>
        <v>3</v>
      </c>
    </row>
    <row r="419" spans="2:8" x14ac:dyDescent="0.25">
      <c r="B419" t="str">
        <f>_xlfn.CONCAT("Prod-",TEXT(ROW(B419),"0000"))</f>
        <v>Prod-0419</v>
      </c>
      <c r="C419" t="s">
        <v>54</v>
      </c>
      <c r="D419" s="1"/>
      <c r="E419" s="1"/>
      <c r="F419">
        <v>4</v>
      </c>
      <c r="H419">
        <f>PRODUTOS[[#This Row],[Entrada]]-PRODUTOS[[#This Row],[Salidas]]</f>
        <v>4</v>
      </c>
    </row>
    <row r="420" spans="2:8" x14ac:dyDescent="0.25">
      <c r="B420" t="str">
        <f>_xlfn.CONCAT("Prod-",TEXT(ROW(B420),"0000"))</f>
        <v>Prod-0420</v>
      </c>
      <c r="C420" t="s">
        <v>42</v>
      </c>
      <c r="D420" s="1"/>
      <c r="E420" s="1"/>
      <c r="F420">
        <v>6</v>
      </c>
      <c r="H420">
        <f>PRODUTOS[[#This Row],[Entrada]]-PRODUTOS[[#This Row],[Salidas]]</f>
        <v>6</v>
      </c>
    </row>
    <row r="421" spans="2:8" x14ac:dyDescent="0.25">
      <c r="B421" t="str">
        <f>_xlfn.CONCAT("Prod-",TEXT(ROW(B421),"0000"))</f>
        <v>Prod-0421</v>
      </c>
      <c r="C421" t="s">
        <v>41</v>
      </c>
      <c r="D421" s="1"/>
      <c r="E421" s="1"/>
      <c r="F421">
        <v>1</v>
      </c>
      <c r="H421">
        <f>PRODUTOS[[#This Row],[Entrada]]-PRODUTOS[[#This Row],[Salidas]]</f>
        <v>1</v>
      </c>
    </row>
    <row r="422" spans="2:8" x14ac:dyDescent="0.25">
      <c r="B422" t="str">
        <f>_xlfn.CONCAT("Prod-",TEXT(ROW(B422),"0000"))</f>
        <v>Prod-0422</v>
      </c>
      <c r="C422" t="s">
        <v>607</v>
      </c>
      <c r="D422" s="1"/>
      <c r="E422" s="1"/>
      <c r="F422">
        <v>1</v>
      </c>
      <c r="H422">
        <f>PRODUTOS[[#This Row],[Entrada]]-PRODUTOS[[#This Row],[Salidas]]</f>
        <v>1</v>
      </c>
    </row>
    <row r="423" spans="2:8" x14ac:dyDescent="0.25">
      <c r="B423" t="str">
        <f>_xlfn.CONCAT("Prod-",TEXT(ROW(B423),"0000"))</f>
        <v>Prod-0423</v>
      </c>
      <c r="C423" t="s">
        <v>608</v>
      </c>
      <c r="D423" s="1"/>
      <c r="E423" s="1"/>
      <c r="F423">
        <v>1</v>
      </c>
      <c r="H423">
        <f>PRODUTOS[[#This Row],[Entrada]]-PRODUTOS[[#This Row],[Salidas]]</f>
        <v>1</v>
      </c>
    </row>
    <row r="424" spans="2:8" x14ac:dyDescent="0.25">
      <c r="B424" t="str">
        <f>_xlfn.CONCAT("Prod-",TEXT(ROW(B424),"0000"))</f>
        <v>Prod-0424</v>
      </c>
      <c r="C424" t="s">
        <v>609</v>
      </c>
      <c r="D424" s="1"/>
      <c r="E424" s="1"/>
      <c r="F424">
        <v>1</v>
      </c>
      <c r="H424">
        <f>PRODUTOS[[#This Row],[Entrada]]-PRODUTOS[[#This Row],[Salidas]]</f>
        <v>1</v>
      </c>
    </row>
    <row r="425" spans="2:8" x14ac:dyDescent="0.25">
      <c r="B425" t="str">
        <f>_xlfn.CONCAT("Prod-",TEXT(ROW(B425),"0000"))</f>
        <v>Prod-0425</v>
      </c>
      <c r="C425" t="s">
        <v>577</v>
      </c>
      <c r="D425" s="1"/>
      <c r="E425" s="1"/>
      <c r="H425">
        <f>PRODUTOS[[#This Row],[Entrada]]-PRODUTOS[[#This Row],[Salidas]]</f>
        <v>0</v>
      </c>
    </row>
    <row r="426" spans="2:8" x14ac:dyDescent="0.25">
      <c r="B426" t="str">
        <f>_xlfn.CONCAT("Prod-",TEXT(ROW(B426),"0000"))</f>
        <v>Prod-0426</v>
      </c>
      <c r="C426" t="s">
        <v>578</v>
      </c>
      <c r="D426" s="1"/>
      <c r="E426" s="1"/>
      <c r="H426">
        <f>PRODUTOS[[#This Row],[Entrada]]-PRODUTOS[[#This Row],[Salidas]]</f>
        <v>0</v>
      </c>
    </row>
    <row r="427" spans="2:8" x14ac:dyDescent="0.25">
      <c r="B427" t="str">
        <f>_xlfn.CONCAT("Prod-",TEXT(ROW(B427),"0000"))</f>
        <v>Prod-0427</v>
      </c>
      <c r="C427" t="s">
        <v>576</v>
      </c>
      <c r="D427" s="1"/>
      <c r="E427" s="1"/>
      <c r="H427">
        <f>PRODUTOS[[#This Row],[Entrada]]-PRODUTOS[[#This Row],[Salidas]]</f>
        <v>0</v>
      </c>
    </row>
    <row r="428" spans="2:8" x14ac:dyDescent="0.25">
      <c r="B428" t="str">
        <f>_xlfn.CONCAT("Prod-",TEXT(ROW(B428),"0000"))</f>
        <v>Prod-0428</v>
      </c>
      <c r="C428" t="s">
        <v>579</v>
      </c>
      <c r="D428" s="1"/>
      <c r="E428" s="1"/>
      <c r="H428">
        <f>PRODUTOS[[#This Row],[Entrada]]-PRODUTOS[[#This Row],[Salidas]]</f>
        <v>0</v>
      </c>
    </row>
    <row r="429" spans="2:8" x14ac:dyDescent="0.25">
      <c r="B429" t="str">
        <f>_xlfn.CONCAT("Prod-",TEXT(ROW(B429),"0000"))</f>
        <v>Prod-0429</v>
      </c>
      <c r="C429" t="s">
        <v>256</v>
      </c>
      <c r="D429" s="1"/>
      <c r="E429" s="1"/>
      <c r="F429">
        <v>10</v>
      </c>
      <c r="H429">
        <f>PRODUTOS[[#This Row],[Entrada]]-PRODUTOS[[#This Row],[Salidas]]</f>
        <v>10</v>
      </c>
    </row>
    <row r="430" spans="2:8" x14ac:dyDescent="0.25">
      <c r="B430" t="str">
        <f>_xlfn.CONCAT("Prod-",TEXT(ROW(B430),"0000"))</f>
        <v>Prod-0430</v>
      </c>
      <c r="C430" t="s">
        <v>254</v>
      </c>
      <c r="D430" s="1"/>
      <c r="E430" s="1"/>
      <c r="F430">
        <v>5</v>
      </c>
      <c r="H430">
        <f>PRODUTOS[[#This Row],[Entrada]]-PRODUTOS[[#This Row],[Salidas]]</f>
        <v>5</v>
      </c>
    </row>
    <row r="431" spans="2:8" x14ac:dyDescent="0.25">
      <c r="B431" t="str">
        <f>_xlfn.CONCAT("Prod-",TEXT(ROW(B431),"0000"))</f>
        <v>Prod-0431</v>
      </c>
      <c r="C431" t="s">
        <v>255</v>
      </c>
      <c r="D431" s="1"/>
      <c r="E431" s="1"/>
      <c r="F431">
        <v>3</v>
      </c>
      <c r="H431">
        <f>PRODUTOS[[#This Row],[Entrada]]-PRODUTOS[[#This Row],[Salidas]]</f>
        <v>3</v>
      </c>
    </row>
    <row r="432" spans="2:8" x14ac:dyDescent="0.25">
      <c r="B432" t="str">
        <f>_xlfn.CONCAT("Prod-",TEXT(ROW(B432),"0000"))</f>
        <v>Prod-0432</v>
      </c>
      <c r="C432" t="s">
        <v>253</v>
      </c>
      <c r="D432" s="1"/>
      <c r="E432" s="1"/>
      <c r="F432">
        <v>2</v>
      </c>
      <c r="H432">
        <f>PRODUTOS[[#This Row],[Entrada]]-PRODUTOS[[#This Row],[Salidas]]</f>
        <v>2</v>
      </c>
    </row>
    <row r="433" spans="2:8" x14ac:dyDescent="0.25">
      <c r="B433" t="str">
        <f>_xlfn.CONCAT("Prod-",TEXT(ROW(B433),"0000"))</f>
        <v>Prod-0433</v>
      </c>
      <c r="C433" t="s">
        <v>570</v>
      </c>
      <c r="D433" s="1"/>
      <c r="E433" s="1"/>
      <c r="F433">
        <v>1</v>
      </c>
      <c r="H433">
        <f>PRODUTOS[[#This Row],[Entrada]]-PRODUTOS[[#This Row],[Salidas]]</f>
        <v>1</v>
      </c>
    </row>
    <row r="434" spans="2:8" x14ac:dyDescent="0.25">
      <c r="B434" t="str">
        <f>_xlfn.CONCAT("Prod-",TEXT(ROW(B434),"0000"))</f>
        <v>Prod-0434</v>
      </c>
      <c r="C434" t="s">
        <v>346</v>
      </c>
      <c r="D434" s="1"/>
      <c r="E434" s="1"/>
      <c r="F434">
        <v>4</v>
      </c>
      <c r="H434">
        <f>PRODUTOS[[#This Row],[Entrada]]-PRODUTOS[[#This Row],[Salidas]]</f>
        <v>4</v>
      </c>
    </row>
    <row r="435" spans="2:8" x14ac:dyDescent="0.25">
      <c r="B435" t="str">
        <f>_xlfn.CONCAT("Prod-",TEXT(ROW(B435),"0000"))</f>
        <v>Prod-0435</v>
      </c>
      <c r="C435" t="s">
        <v>347</v>
      </c>
      <c r="D435" s="1"/>
      <c r="E435" s="1"/>
      <c r="F435">
        <v>8</v>
      </c>
      <c r="H435">
        <f>PRODUTOS[[#This Row],[Entrada]]-PRODUTOS[[#This Row],[Salidas]]</f>
        <v>8</v>
      </c>
    </row>
    <row r="436" spans="2:8" x14ac:dyDescent="0.25">
      <c r="B436" t="str">
        <f>_xlfn.CONCAT("Prod-",TEXT(ROW(B436),"0000"))</f>
        <v>Prod-0436</v>
      </c>
      <c r="C436" t="s">
        <v>342</v>
      </c>
      <c r="D436" s="1"/>
      <c r="E436" s="1"/>
      <c r="F436">
        <v>8</v>
      </c>
      <c r="H436">
        <f>PRODUTOS[[#This Row],[Entrada]]-PRODUTOS[[#This Row],[Salidas]]</f>
        <v>8</v>
      </c>
    </row>
    <row r="437" spans="2:8" x14ac:dyDescent="0.25">
      <c r="B437" t="str">
        <f>_xlfn.CONCAT("Prod-",TEXT(ROW(B437),"0000"))</f>
        <v>Prod-0437</v>
      </c>
      <c r="C437" t="s">
        <v>341</v>
      </c>
      <c r="D437" s="1"/>
      <c r="E437" s="1"/>
      <c r="F437">
        <v>9</v>
      </c>
      <c r="H437">
        <f>PRODUTOS[[#This Row],[Entrada]]-PRODUTOS[[#This Row],[Salidas]]</f>
        <v>9</v>
      </c>
    </row>
    <row r="438" spans="2:8" x14ac:dyDescent="0.25">
      <c r="B438" t="str">
        <f>_xlfn.CONCAT("Prod-",TEXT(ROW(B438),"0000"))</f>
        <v>Prod-0438</v>
      </c>
      <c r="C438" t="s">
        <v>343</v>
      </c>
      <c r="D438" s="1"/>
      <c r="E438" s="1"/>
      <c r="F438">
        <v>8</v>
      </c>
      <c r="H438">
        <f>PRODUTOS[[#This Row],[Entrada]]-PRODUTOS[[#This Row],[Salidas]]</f>
        <v>8</v>
      </c>
    </row>
    <row r="439" spans="2:8" x14ac:dyDescent="0.25">
      <c r="B439" t="str">
        <f>_xlfn.CONCAT("Prod-",TEXT(ROW(B439),"0000"))</f>
        <v>Prod-0439</v>
      </c>
      <c r="C439" t="s">
        <v>543</v>
      </c>
      <c r="D439" s="1"/>
      <c r="E439" s="1"/>
      <c r="F439">
        <v>2</v>
      </c>
      <c r="H439">
        <f>PRODUTOS[[#This Row],[Entrada]]-PRODUTOS[[#This Row],[Salidas]]</f>
        <v>2</v>
      </c>
    </row>
    <row r="440" spans="2:8" x14ac:dyDescent="0.25">
      <c r="B440" t="str">
        <f>_xlfn.CONCAT("Prod-",TEXT(ROW(B440),"0000"))</f>
        <v>Prod-0440</v>
      </c>
      <c r="C440" t="s">
        <v>568</v>
      </c>
      <c r="D440" s="1"/>
      <c r="E440" s="1"/>
      <c r="F440">
        <v>1</v>
      </c>
      <c r="H440">
        <f>PRODUTOS[[#This Row],[Entrada]]-PRODUTOS[[#This Row],[Salidas]]</f>
        <v>1</v>
      </c>
    </row>
    <row r="441" spans="2:8" x14ac:dyDescent="0.25">
      <c r="B441" t="str">
        <f>_xlfn.CONCAT("Prod-",TEXT(ROW(B441),"0000"))</f>
        <v>Prod-0441</v>
      </c>
      <c r="C441" t="s">
        <v>336</v>
      </c>
      <c r="D441" s="1"/>
      <c r="E441" s="1"/>
      <c r="F441">
        <v>1</v>
      </c>
      <c r="H441">
        <f>PRODUTOS[[#This Row],[Entrada]]-PRODUTOS[[#This Row],[Salidas]]</f>
        <v>1</v>
      </c>
    </row>
    <row r="442" spans="2:8" x14ac:dyDescent="0.25">
      <c r="B442" t="str">
        <f>_xlfn.CONCAT("Prod-",TEXT(ROW(B442),"0000"))</f>
        <v>Prod-0442</v>
      </c>
      <c r="C442" t="s">
        <v>334</v>
      </c>
      <c r="D442" s="1"/>
      <c r="E442" s="1"/>
      <c r="F442">
        <v>1</v>
      </c>
      <c r="H442">
        <f>PRODUTOS[[#This Row],[Entrada]]-PRODUTOS[[#This Row],[Salidas]]</f>
        <v>1</v>
      </c>
    </row>
    <row r="443" spans="2:8" x14ac:dyDescent="0.25">
      <c r="B443" t="str">
        <f>_xlfn.CONCAT("Prod-",TEXT(ROW(B443),"0000"))</f>
        <v>Prod-0443</v>
      </c>
      <c r="C443" t="s">
        <v>335</v>
      </c>
      <c r="D443" s="1"/>
      <c r="E443" s="1"/>
      <c r="F443">
        <v>1</v>
      </c>
      <c r="H443">
        <f>PRODUTOS[[#This Row],[Entrada]]-PRODUTOS[[#This Row],[Salidas]]</f>
        <v>1</v>
      </c>
    </row>
    <row r="444" spans="2:8" x14ac:dyDescent="0.25">
      <c r="B444" t="str">
        <f>_xlfn.CONCAT("Prod-",TEXT(ROW(B444),"0000"))</f>
        <v>Prod-0444</v>
      </c>
      <c r="C444" t="s">
        <v>185</v>
      </c>
      <c r="D444" s="1"/>
      <c r="E444" s="1"/>
      <c r="F444">
        <v>10</v>
      </c>
      <c r="H444">
        <f>PRODUTOS[[#This Row],[Entrada]]-PRODUTOS[[#This Row],[Salidas]]</f>
        <v>10</v>
      </c>
    </row>
    <row r="445" spans="2:8" x14ac:dyDescent="0.25">
      <c r="B445" t="str">
        <f>_xlfn.CONCAT("Prod-",TEXT(ROW(B445),"0000"))</f>
        <v>Prod-0445</v>
      </c>
      <c r="C445" t="s">
        <v>78</v>
      </c>
      <c r="D445" s="1"/>
      <c r="E445" s="1"/>
      <c r="F445">
        <v>2</v>
      </c>
      <c r="H445">
        <f>PRODUTOS[[#This Row],[Entrada]]-PRODUTOS[[#This Row],[Salidas]]</f>
        <v>2</v>
      </c>
    </row>
    <row r="446" spans="2:8" x14ac:dyDescent="0.25">
      <c r="B446" t="str">
        <f>_xlfn.CONCAT("Prod-",TEXT(ROW(B446),"0000"))</f>
        <v>Prod-0446</v>
      </c>
      <c r="C446" t="s">
        <v>455</v>
      </c>
      <c r="D446" s="1"/>
      <c r="E446" s="1">
        <v>2.8</v>
      </c>
      <c r="F446">
        <v>4</v>
      </c>
      <c r="H446">
        <f>PRODUTOS[[#This Row],[Entrada]]-PRODUTOS[[#This Row],[Salidas]]</f>
        <v>4</v>
      </c>
    </row>
    <row r="447" spans="2:8" x14ac:dyDescent="0.25">
      <c r="B447" t="str">
        <f>_xlfn.CONCAT("Prod-",TEXT(ROW(B447),"0000"))</f>
        <v>Prod-0447</v>
      </c>
      <c r="C447" t="s">
        <v>458</v>
      </c>
      <c r="D447" s="1"/>
      <c r="E447" s="1">
        <v>3.8</v>
      </c>
      <c r="F447">
        <v>5</v>
      </c>
      <c r="H447">
        <f>PRODUTOS[[#This Row],[Entrada]]-PRODUTOS[[#This Row],[Salidas]]</f>
        <v>5</v>
      </c>
    </row>
    <row r="448" spans="2:8" x14ac:dyDescent="0.25">
      <c r="B448" t="str">
        <f>_xlfn.CONCAT("Prod-",TEXT(ROW(B448),"0000"))</f>
        <v>Prod-0448</v>
      </c>
      <c r="C448" t="s">
        <v>456</v>
      </c>
      <c r="D448" s="1"/>
      <c r="E448" s="1"/>
      <c r="F448">
        <v>1</v>
      </c>
      <c r="H448">
        <f>PRODUTOS[[#This Row],[Entrada]]-PRODUTOS[[#This Row],[Salidas]]</f>
        <v>1</v>
      </c>
    </row>
    <row r="449" spans="2:8" x14ac:dyDescent="0.25">
      <c r="B449" t="str">
        <f>_xlfn.CONCAT("Prod-",TEXT(ROW(B449),"0000"))</f>
        <v>Prod-0449</v>
      </c>
      <c r="C449" t="s">
        <v>453</v>
      </c>
      <c r="D449" s="1"/>
      <c r="E449" s="1"/>
      <c r="F449">
        <v>10</v>
      </c>
      <c r="H449">
        <f>PRODUTOS[[#This Row],[Entrada]]-PRODUTOS[[#This Row],[Salidas]]</f>
        <v>10</v>
      </c>
    </row>
    <row r="450" spans="2:8" x14ac:dyDescent="0.25">
      <c r="B450" t="str">
        <f>_xlfn.CONCAT("Prod-",TEXT(ROW(B450),"0000"))</f>
        <v>Prod-0450</v>
      </c>
      <c r="C450" t="s">
        <v>460</v>
      </c>
      <c r="D450" s="1"/>
      <c r="E450" s="1">
        <v>1.2</v>
      </c>
      <c r="F450">
        <v>6</v>
      </c>
      <c r="H450">
        <f>PRODUTOS[[#This Row],[Entrada]]-PRODUTOS[[#This Row],[Salidas]]</f>
        <v>6</v>
      </c>
    </row>
    <row r="451" spans="2:8" x14ac:dyDescent="0.25">
      <c r="B451" t="str">
        <f>_xlfn.CONCAT("Prod-",TEXT(ROW(B451),"0000"))</f>
        <v>Prod-0451</v>
      </c>
      <c r="C451" t="s">
        <v>457</v>
      </c>
      <c r="D451" s="1"/>
      <c r="E451" s="1"/>
      <c r="F451">
        <v>9</v>
      </c>
      <c r="H451">
        <f>PRODUTOS[[#This Row],[Entrada]]-PRODUTOS[[#This Row],[Salidas]]</f>
        <v>9</v>
      </c>
    </row>
    <row r="452" spans="2:8" x14ac:dyDescent="0.25">
      <c r="B452" t="str">
        <f>_xlfn.CONCAT("Prod-",TEXT(ROW(B452),"0000"))</f>
        <v>Prod-0452</v>
      </c>
      <c r="C452" t="s">
        <v>80</v>
      </c>
      <c r="D452" s="1"/>
      <c r="E452" s="1"/>
      <c r="F452">
        <v>4</v>
      </c>
      <c r="H452">
        <f>PRODUTOS[[#This Row],[Entrada]]-PRODUTOS[[#This Row],[Salidas]]</f>
        <v>4</v>
      </c>
    </row>
    <row r="453" spans="2:8" x14ac:dyDescent="0.25">
      <c r="B453" t="str">
        <f>_xlfn.CONCAT("Prod-",TEXT(ROW(B453),"0000"))</f>
        <v>Prod-0453</v>
      </c>
      <c r="C453" t="s">
        <v>241</v>
      </c>
      <c r="D453" s="1"/>
      <c r="E453" s="1"/>
      <c r="F453">
        <v>5</v>
      </c>
      <c r="H453">
        <f>PRODUTOS[[#This Row],[Entrada]]-PRODUTOS[[#This Row],[Salidas]]</f>
        <v>5</v>
      </c>
    </row>
    <row r="454" spans="2:8" x14ac:dyDescent="0.25">
      <c r="B454" t="str">
        <f>_xlfn.CONCAT("Prod-",TEXT(ROW(B454),"0000"))</f>
        <v>Prod-0454</v>
      </c>
      <c r="C454" t="s">
        <v>242</v>
      </c>
      <c r="D454" s="1"/>
      <c r="E454" s="1"/>
      <c r="F454">
        <v>5</v>
      </c>
      <c r="H454">
        <f>PRODUTOS[[#This Row],[Entrada]]-PRODUTOS[[#This Row],[Salidas]]</f>
        <v>5</v>
      </c>
    </row>
    <row r="455" spans="2:8" x14ac:dyDescent="0.25">
      <c r="B455" t="str">
        <f>_xlfn.CONCAT("Prod-",TEXT(ROW(B455),"0000"))</f>
        <v>Prod-0455</v>
      </c>
      <c r="C455" t="s">
        <v>244</v>
      </c>
      <c r="D455" s="1"/>
      <c r="E455" s="1"/>
      <c r="F455">
        <v>3</v>
      </c>
      <c r="H455">
        <f>PRODUTOS[[#This Row],[Entrada]]-PRODUTOS[[#This Row],[Salidas]]</f>
        <v>3</v>
      </c>
    </row>
    <row r="456" spans="2:8" x14ac:dyDescent="0.25">
      <c r="B456" t="str">
        <f>_xlfn.CONCAT("Prod-",TEXT(ROW(B456),"0000"))</f>
        <v>Prod-0456</v>
      </c>
      <c r="C456" t="s">
        <v>247</v>
      </c>
      <c r="D456" s="1"/>
      <c r="E456" s="1"/>
      <c r="F456">
        <v>1</v>
      </c>
      <c r="H456">
        <f>PRODUTOS[[#This Row],[Entrada]]-PRODUTOS[[#This Row],[Salidas]]</f>
        <v>1</v>
      </c>
    </row>
    <row r="457" spans="2:8" x14ac:dyDescent="0.25">
      <c r="B457" t="str">
        <f>_xlfn.CONCAT("Prod-",TEXT(ROW(B457),"0000"))</f>
        <v>Prod-0457</v>
      </c>
      <c r="C457" t="s">
        <v>555</v>
      </c>
      <c r="D457" s="1"/>
      <c r="E457" s="1"/>
      <c r="F457">
        <v>7</v>
      </c>
      <c r="H457">
        <f>PRODUTOS[[#This Row],[Entrada]]-PRODUTOS[[#This Row],[Salidas]]</f>
        <v>7</v>
      </c>
    </row>
    <row r="458" spans="2:8" x14ac:dyDescent="0.25">
      <c r="B458" t="str">
        <f>_xlfn.CONCAT("Prod-",TEXT(ROW(B458),"0000"))</f>
        <v>Prod-0458</v>
      </c>
      <c r="C458" t="s">
        <v>350</v>
      </c>
      <c r="D458" s="1"/>
      <c r="E458" s="1"/>
      <c r="F458">
        <v>6</v>
      </c>
      <c r="H458">
        <f>PRODUTOS[[#This Row],[Entrada]]-PRODUTOS[[#This Row],[Salidas]]</f>
        <v>6</v>
      </c>
    </row>
    <row r="459" spans="2:8" x14ac:dyDescent="0.25">
      <c r="B459" t="str">
        <f>_xlfn.CONCAT("Prod-",TEXT(ROW(B459),"0000"))</f>
        <v>Prod-0459</v>
      </c>
      <c r="C459" t="s">
        <v>569</v>
      </c>
      <c r="D459" s="1"/>
      <c r="E459" s="1"/>
      <c r="F459">
        <v>2</v>
      </c>
      <c r="H459">
        <f>PRODUTOS[[#This Row],[Entrada]]-PRODUTOS[[#This Row],[Salidas]]</f>
        <v>2</v>
      </c>
    </row>
    <row r="460" spans="2:8" x14ac:dyDescent="0.25">
      <c r="B460" t="str">
        <f>_xlfn.CONCAT("Prod-",TEXT(ROW(B460),"0000"))</f>
        <v>Prod-0460</v>
      </c>
      <c r="C460" t="s">
        <v>646</v>
      </c>
      <c r="D460" s="1"/>
      <c r="E460" s="1"/>
      <c r="F460">
        <v>3</v>
      </c>
      <c r="H460">
        <f>PRODUTOS[[#This Row],[Entrada]]-PRODUTOS[[#This Row],[Salidas]]</f>
        <v>3</v>
      </c>
    </row>
    <row r="461" spans="2:8" x14ac:dyDescent="0.25">
      <c r="B461" t="str">
        <f>_xlfn.CONCAT("Prod-",TEXT(ROW(B461),"0000"))</f>
        <v>Prod-0461</v>
      </c>
      <c r="C461" t="s">
        <v>251</v>
      </c>
      <c r="D461" s="1"/>
      <c r="E461" s="1"/>
      <c r="F461">
        <v>2</v>
      </c>
      <c r="H461">
        <f>PRODUTOS[[#This Row],[Entrada]]-PRODUTOS[[#This Row],[Salidas]]</f>
        <v>2</v>
      </c>
    </row>
    <row r="462" spans="2:8" x14ac:dyDescent="0.25">
      <c r="B462" t="str">
        <f>_xlfn.CONCAT("Prod-",TEXT(ROW(B462),"0000"))</f>
        <v>Prod-0462</v>
      </c>
      <c r="C462" t="s">
        <v>373</v>
      </c>
      <c r="D462" s="1"/>
      <c r="E462" s="1"/>
      <c r="F462">
        <v>2</v>
      </c>
      <c r="H462">
        <f>PRODUTOS[[#This Row],[Entrada]]-PRODUTOS[[#This Row],[Salidas]]</f>
        <v>2</v>
      </c>
    </row>
    <row r="463" spans="2:8" x14ac:dyDescent="0.25">
      <c r="B463" t="str">
        <f>_xlfn.CONCAT("Prod-",TEXT(ROW(B463),"0000"))</f>
        <v>Prod-0463</v>
      </c>
      <c r="C463" t="s">
        <v>541</v>
      </c>
      <c r="D463" s="1"/>
      <c r="E463" s="1"/>
      <c r="F463">
        <v>5</v>
      </c>
      <c r="H463">
        <f>PRODUTOS[[#This Row],[Entrada]]-PRODUTOS[[#This Row],[Salidas]]</f>
        <v>5</v>
      </c>
    </row>
    <row r="464" spans="2:8" x14ac:dyDescent="0.25">
      <c r="B464" t="str">
        <f>_xlfn.CONCAT("Prod-",TEXT(ROW(B464),"0000"))</f>
        <v>Prod-0464</v>
      </c>
      <c r="C464" t="s">
        <v>58</v>
      </c>
      <c r="D464" s="1"/>
      <c r="E464" s="1"/>
      <c r="F464">
        <v>11</v>
      </c>
      <c r="H464">
        <f>PRODUTOS[[#This Row],[Entrada]]-PRODUTOS[[#This Row],[Salidas]]</f>
        <v>11</v>
      </c>
    </row>
    <row r="465" spans="2:8" x14ac:dyDescent="0.25">
      <c r="B465" t="str">
        <f>_xlfn.CONCAT("Prod-",TEXT(ROW(B465),"0000"))</f>
        <v>Prod-0465</v>
      </c>
      <c r="C465" t="s">
        <v>57</v>
      </c>
      <c r="D465" s="1"/>
      <c r="E465" s="1"/>
      <c r="F465">
        <v>23</v>
      </c>
      <c r="H465">
        <f>PRODUTOS[[#This Row],[Entrada]]-PRODUTOS[[#This Row],[Salidas]]</f>
        <v>23</v>
      </c>
    </row>
    <row r="466" spans="2:8" x14ac:dyDescent="0.25">
      <c r="B466" t="str">
        <f>_xlfn.CONCAT("Prod-",TEXT(ROW(B466),"0000"))</f>
        <v>Prod-0466</v>
      </c>
      <c r="C466" t="s">
        <v>321</v>
      </c>
      <c r="D466" s="1"/>
      <c r="E466" s="1"/>
      <c r="F466">
        <v>9</v>
      </c>
      <c r="H466">
        <f>PRODUTOS[[#This Row],[Entrada]]-PRODUTOS[[#This Row],[Salidas]]</f>
        <v>9</v>
      </c>
    </row>
    <row r="467" spans="2:8" x14ac:dyDescent="0.25">
      <c r="B467" t="str">
        <f>_xlfn.CONCAT("Prod-",TEXT(ROW(B467),"0000"))</f>
        <v>Prod-0467</v>
      </c>
      <c r="C467" t="s">
        <v>323</v>
      </c>
      <c r="D467" s="1"/>
      <c r="E467" s="1"/>
      <c r="F467">
        <v>5</v>
      </c>
      <c r="H467">
        <f>PRODUTOS[[#This Row],[Entrada]]-PRODUTOS[[#This Row],[Salidas]]</f>
        <v>5</v>
      </c>
    </row>
    <row r="468" spans="2:8" x14ac:dyDescent="0.25">
      <c r="B468" t="str">
        <f>_xlfn.CONCAT("Prod-",TEXT(ROW(B468),"0000"))</f>
        <v>Prod-0468</v>
      </c>
      <c r="C468" t="s">
        <v>322</v>
      </c>
      <c r="D468" s="1"/>
      <c r="E468" s="1"/>
      <c r="F468">
        <v>3</v>
      </c>
      <c r="H468">
        <f>PRODUTOS[[#This Row],[Entrada]]-PRODUTOS[[#This Row],[Salidas]]</f>
        <v>3</v>
      </c>
    </row>
    <row r="469" spans="2:8" x14ac:dyDescent="0.25">
      <c r="B469" t="str">
        <f>_xlfn.CONCAT("Prod-",TEXT(ROW(B469),"0000"))</f>
        <v>Prod-0469</v>
      </c>
      <c r="C469" t="s">
        <v>320</v>
      </c>
      <c r="D469" s="1"/>
      <c r="E469" s="1"/>
      <c r="F469">
        <v>8</v>
      </c>
      <c r="H469">
        <f>PRODUTOS[[#This Row],[Entrada]]-PRODUTOS[[#This Row],[Salidas]]</f>
        <v>8</v>
      </c>
    </row>
    <row r="470" spans="2:8" x14ac:dyDescent="0.25">
      <c r="B470" t="str">
        <f>_xlfn.CONCAT("Prod-",TEXT(ROW(B470),"0000"))</f>
        <v>Prod-0470</v>
      </c>
      <c r="C470" t="s">
        <v>376</v>
      </c>
      <c r="D470" s="1"/>
      <c r="E470" s="1"/>
      <c r="F470">
        <v>3</v>
      </c>
      <c r="H470">
        <f>PRODUTOS[[#This Row],[Entrada]]-PRODUTOS[[#This Row],[Salidas]]</f>
        <v>3</v>
      </c>
    </row>
    <row r="471" spans="2:8" x14ac:dyDescent="0.25">
      <c r="B471" t="str">
        <f>_xlfn.CONCAT("Prod-",TEXT(ROW(B471),"0000"))</f>
        <v>Prod-0471</v>
      </c>
      <c r="C471" t="s">
        <v>375</v>
      </c>
      <c r="D471" s="1"/>
      <c r="E471" s="1"/>
      <c r="F471">
        <v>5</v>
      </c>
      <c r="H471">
        <f>PRODUTOS[[#This Row],[Entrada]]-PRODUTOS[[#This Row],[Salidas]]</f>
        <v>5</v>
      </c>
    </row>
    <row r="472" spans="2:8" x14ac:dyDescent="0.25">
      <c r="B472" t="str">
        <f>_xlfn.CONCAT("Prod-",TEXT(ROW(B472),"0000"))</f>
        <v>Prod-0472</v>
      </c>
      <c r="C472" t="s">
        <v>378</v>
      </c>
      <c r="D472" s="1"/>
      <c r="E472" s="1"/>
      <c r="F472">
        <v>11</v>
      </c>
      <c r="H472">
        <f>PRODUTOS[[#This Row],[Entrada]]-PRODUTOS[[#This Row],[Salidas]]</f>
        <v>11</v>
      </c>
    </row>
    <row r="473" spans="2:8" x14ac:dyDescent="0.25">
      <c r="B473" t="str">
        <f>_xlfn.CONCAT("Prod-",TEXT(ROW(B473),"0000"))</f>
        <v>Prod-0473</v>
      </c>
      <c r="C473" t="s">
        <v>377</v>
      </c>
      <c r="D473" s="1"/>
      <c r="E473" s="1"/>
      <c r="F473">
        <v>3</v>
      </c>
      <c r="H473">
        <f>PRODUTOS[[#This Row],[Entrada]]-PRODUTOS[[#This Row],[Salidas]]</f>
        <v>3</v>
      </c>
    </row>
    <row r="474" spans="2:8" x14ac:dyDescent="0.25">
      <c r="B474" t="str">
        <f>_xlfn.CONCAT("Prod-",TEXT(ROW(B474),"0000"))</f>
        <v>Prod-0474</v>
      </c>
      <c r="C474" t="s">
        <v>379</v>
      </c>
      <c r="D474" s="1"/>
      <c r="E474" s="1"/>
      <c r="F474">
        <v>4</v>
      </c>
      <c r="H474">
        <f>PRODUTOS[[#This Row],[Entrada]]-PRODUTOS[[#This Row],[Salidas]]</f>
        <v>4</v>
      </c>
    </row>
    <row r="475" spans="2:8" x14ac:dyDescent="0.25">
      <c r="B475" t="str">
        <f>_xlfn.CONCAT("Prod-",TEXT(ROW(B475),"0000"))</f>
        <v>Prod-0475</v>
      </c>
      <c r="C475" t="s">
        <v>380</v>
      </c>
      <c r="D475" s="1"/>
      <c r="E475" s="1"/>
      <c r="F475">
        <v>1</v>
      </c>
      <c r="H475">
        <f>PRODUTOS[[#This Row],[Entrada]]-PRODUTOS[[#This Row],[Salidas]]</f>
        <v>1</v>
      </c>
    </row>
    <row r="476" spans="2:8" x14ac:dyDescent="0.25">
      <c r="B476" t="str">
        <f>_xlfn.CONCAT("Prod-",TEXT(ROW(B476),"0000"))</f>
        <v>Prod-0476</v>
      </c>
      <c r="C476" t="s">
        <v>420</v>
      </c>
      <c r="D476" s="1"/>
      <c r="E476" s="1"/>
      <c r="F476">
        <v>12</v>
      </c>
      <c r="H476">
        <f>PRODUTOS[[#This Row],[Entrada]]-PRODUTOS[[#This Row],[Salidas]]</f>
        <v>12</v>
      </c>
    </row>
    <row r="477" spans="2:8" x14ac:dyDescent="0.25">
      <c r="B477" t="str">
        <f>_xlfn.CONCAT("Prod-",TEXT(ROW(B477),"0000"))</f>
        <v>Prod-0477</v>
      </c>
      <c r="C477" t="s">
        <v>419</v>
      </c>
      <c r="D477" s="1"/>
      <c r="E477" s="1"/>
      <c r="F477">
        <v>7</v>
      </c>
      <c r="H477">
        <f>PRODUTOS[[#This Row],[Entrada]]-PRODUTOS[[#This Row],[Salidas]]</f>
        <v>7</v>
      </c>
    </row>
    <row r="478" spans="2:8" x14ac:dyDescent="0.25">
      <c r="B478" t="str">
        <f>_xlfn.CONCAT("Prod-",TEXT(ROW(B478),"0000"))</f>
        <v>Prod-0478</v>
      </c>
      <c r="C478" t="s">
        <v>417</v>
      </c>
      <c r="D478" s="1"/>
      <c r="E478" s="1"/>
      <c r="F478">
        <v>19</v>
      </c>
      <c r="H478">
        <f>PRODUTOS[[#This Row],[Entrada]]-PRODUTOS[[#This Row],[Salidas]]</f>
        <v>19</v>
      </c>
    </row>
    <row r="479" spans="2:8" x14ac:dyDescent="0.25">
      <c r="B479" t="str">
        <f>_xlfn.CONCAT("Prod-",TEXT(ROW(B479),"0000"))</f>
        <v>Prod-0479</v>
      </c>
      <c r="C479" t="s">
        <v>418</v>
      </c>
      <c r="D479" s="1"/>
      <c r="E479" s="1"/>
      <c r="F479">
        <v>6</v>
      </c>
      <c r="H479">
        <f>PRODUTOS[[#This Row],[Entrada]]-PRODUTOS[[#This Row],[Salidas]]</f>
        <v>6</v>
      </c>
    </row>
    <row r="480" spans="2:8" x14ac:dyDescent="0.25">
      <c r="B480" t="str">
        <f>_xlfn.CONCAT("Prod-",TEXT(ROW(B480),"0000"))</f>
        <v>Prod-0480</v>
      </c>
      <c r="C480" t="s">
        <v>524</v>
      </c>
      <c r="D480" s="1"/>
      <c r="E480" s="1"/>
      <c r="F480">
        <v>1</v>
      </c>
      <c r="H480">
        <f>PRODUTOS[[#This Row],[Entrada]]-PRODUTOS[[#This Row],[Salidas]]</f>
        <v>1</v>
      </c>
    </row>
    <row r="481" spans="2:8" x14ac:dyDescent="0.25">
      <c r="B481" t="str">
        <f>_xlfn.CONCAT("Prod-",TEXT(ROW(B481),"0000"))</f>
        <v>Prod-0481</v>
      </c>
      <c r="C481" t="s">
        <v>348</v>
      </c>
      <c r="D481" s="1"/>
      <c r="E481" s="1"/>
      <c r="F481">
        <v>3</v>
      </c>
      <c r="H481">
        <f>PRODUTOS[[#This Row],[Entrada]]-PRODUTOS[[#This Row],[Salidas]]</f>
        <v>3</v>
      </c>
    </row>
    <row r="482" spans="2:8" x14ac:dyDescent="0.25">
      <c r="B482" t="str">
        <f>_xlfn.CONCAT("Prod-",TEXT(ROW(B482),"0000"))</f>
        <v>Prod-0482</v>
      </c>
      <c r="C482" t="s">
        <v>393</v>
      </c>
      <c r="D482" s="1"/>
      <c r="E482" s="1"/>
      <c r="F482">
        <v>1</v>
      </c>
      <c r="H482">
        <f>PRODUTOS[[#This Row],[Entrada]]-PRODUTOS[[#This Row],[Salidas]]</f>
        <v>1</v>
      </c>
    </row>
    <row r="483" spans="2:8" x14ac:dyDescent="0.25">
      <c r="B483" t="str">
        <f>_xlfn.CONCAT("Prod-",TEXT(ROW(B483),"0000"))</f>
        <v>Prod-0483</v>
      </c>
      <c r="C483" t="s">
        <v>395</v>
      </c>
      <c r="D483" s="1"/>
      <c r="E483" s="1"/>
      <c r="F483">
        <v>2</v>
      </c>
      <c r="H483">
        <f>PRODUTOS[[#This Row],[Entrada]]-PRODUTOS[[#This Row],[Salidas]]</f>
        <v>2</v>
      </c>
    </row>
    <row r="484" spans="2:8" x14ac:dyDescent="0.25">
      <c r="B484" t="str">
        <f>_xlfn.CONCAT("Prod-",TEXT(ROW(B484),"0000"))</f>
        <v>Prod-0484</v>
      </c>
      <c r="C484" t="s">
        <v>394</v>
      </c>
      <c r="D484" s="1"/>
      <c r="E484" s="1"/>
      <c r="F484">
        <v>1</v>
      </c>
      <c r="H484">
        <f>PRODUTOS[[#This Row],[Entrada]]-PRODUTOS[[#This Row],[Salidas]]</f>
        <v>1</v>
      </c>
    </row>
    <row r="485" spans="2:8" x14ac:dyDescent="0.25">
      <c r="B485" t="str">
        <f>_xlfn.CONCAT("Prod-",TEXT(ROW(B485),"0000"))</f>
        <v>Prod-0485</v>
      </c>
      <c r="C485" t="s">
        <v>339</v>
      </c>
      <c r="D485" s="1"/>
      <c r="E485" s="1"/>
      <c r="F485">
        <v>2</v>
      </c>
      <c r="H485">
        <f>PRODUTOS[[#This Row],[Entrada]]-PRODUTOS[[#This Row],[Salidas]]</f>
        <v>2</v>
      </c>
    </row>
    <row r="486" spans="2:8" x14ac:dyDescent="0.25">
      <c r="B486" t="str">
        <f>_xlfn.CONCAT("Prod-",TEXT(ROW(B486),"0000"))</f>
        <v>Prod-0486</v>
      </c>
      <c r="C486" t="s">
        <v>338</v>
      </c>
      <c r="D486" s="1"/>
      <c r="E486" s="1"/>
      <c r="F486">
        <v>4</v>
      </c>
      <c r="H486">
        <f>PRODUTOS[[#This Row],[Entrada]]-PRODUTOS[[#This Row],[Salidas]]</f>
        <v>4</v>
      </c>
    </row>
    <row r="487" spans="2:8" x14ac:dyDescent="0.25">
      <c r="B487" t="str">
        <f>_xlfn.CONCAT("Prod-",TEXT(ROW(B487),"0000"))</f>
        <v>Prod-0487</v>
      </c>
      <c r="C487" t="s">
        <v>384</v>
      </c>
      <c r="D487" s="1"/>
      <c r="E487" s="1"/>
      <c r="F487">
        <v>5</v>
      </c>
      <c r="H487">
        <f>PRODUTOS[[#This Row],[Entrada]]-PRODUTOS[[#This Row],[Salidas]]</f>
        <v>5</v>
      </c>
    </row>
    <row r="488" spans="2:8" x14ac:dyDescent="0.25">
      <c r="B488" t="str">
        <f>_xlfn.CONCAT("Prod-",TEXT(ROW(B488),"0000"))</f>
        <v>Prod-0488</v>
      </c>
      <c r="C488" t="s">
        <v>385</v>
      </c>
      <c r="D488" s="1"/>
      <c r="E488" s="1"/>
      <c r="F488">
        <v>5</v>
      </c>
      <c r="H488">
        <f>PRODUTOS[[#This Row],[Entrada]]-PRODUTOS[[#This Row],[Salidas]]</f>
        <v>5</v>
      </c>
    </row>
    <row r="489" spans="2:8" x14ac:dyDescent="0.25">
      <c r="B489" t="str">
        <f>_xlfn.CONCAT("Prod-",TEXT(ROW(B489),"0000"))</f>
        <v>Prod-0489</v>
      </c>
      <c r="C489" t="s">
        <v>381</v>
      </c>
      <c r="D489" s="1"/>
      <c r="E489" s="1"/>
      <c r="F489">
        <v>2</v>
      </c>
      <c r="H489">
        <f>PRODUTOS[[#This Row],[Entrada]]-PRODUTOS[[#This Row],[Salidas]]</f>
        <v>2</v>
      </c>
    </row>
    <row r="490" spans="2:8" x14ac:dyDescent="0.25">
      <c r="B490" t="str">
        <f>_xlfn.CONCAT("Prod-",TEXT(ROW(B490),"0000"))</f>
        <v>Prod-0490</v>
      </c>
      <c r="C490" t="s">
        <v>382</v>
      </c>
      <c r="D490" s="1"/>
      <c r="E490" s="1"/>
      <c r="F490">
        <v>3</v>
      </c>
      <c r="H490">
        <f>PRODUTOS[[#This Row],[Entrada]]-PRODUTOS[[#This Row],[Salidas]]</f>
        <v>3</v>
      </c>
    </row>
    <row r="491" spans="2:8" x14ac:dyDescent="0.25">
      <c r="B491" t="str">
        <f>_xlfn.CONCAT("Prod-",TEXT(ROW(B491),"0000"))</f>
        <v>Prod-0491</v>
      </c>
      <c r="C491" t="s">
        <v>337</v>
      </c>
      <c r="D491" s="1"/>
      <c r="E491" s="1"/>
      <c r="F491">
        <v>3</v>
      </c>
      <c r="H491">
        <f>PRODUTOS[[#This Row],[Entrada]]-PRODUTOS[[#This Row],[Salidas]]</f>
        <v>3</v>
      </c>
    </row>
    <row r="492" spans="2:8" x14ac:dyDescent="0.25">
      <c r="B492" t="str">
        <f>_xlfn.CONCAT("Prod-",TEXT(ROW(B492),"0000"))</f>
        <v>Prod-0492</v>
      </c>
      <c r="C492" t="s">
        <v>152</v>
      </c>
      <c r="D492" s="1"/>
      <c r="E492" s="1"/>
      <c r="F492">
        <v>6</v>
      </c>
      <c r="H492">
        <f>PRODUTOS[[#This Row],[Entrada]]-PRODUTOS[[#This Row],[Salidas]]</f>
        <v>6</v>
      </c>
    </row>
    <row r="493" spans="2:8" x14ac:dyDescent="0.25">
      <c r="B493" t="str">
        <f>_xlfn.CONCAT("Prod-",TEXT(ROW(B493),"0000"))</f>
        <v>Prod-0493</v>
      </c>
      <c r="C493" t="s">
        <v>153</v>
      </c>
      <c r="D493" s="1"/>
      <c r="E493" s="1"/>
      <c r="F493">
        <v>2</v>
      </c>
      <c r="H493">
        <f>PRODUTOS[[#This Row],[Entrada]]-PRODUTOS[[#This Row],[Salidas]]</f>
        <v>2</v>
      </c>
    </row>
    <row r="494" spans="2:8" x14ac:dyDescent="0.25">
      <c r="B494" t="str">
        <f>_xlfn.CONCAT("Prod-",TEXT(ROW(B494),"0000"))</f>
        <v>Prod-0494</v>
      </c>
      <c r="C494" t="s">
        <v>414</v>
      </c>
      <c r="D494" s="1"/>
      <c r="E494" s="1"/>
      <c r="F494">
        <v>2</v>
      </c>
      <c r="H494">
        <f>PRODUTOS[[#This Row],[Entrada]]-PRODUTOS[[#This Row],[Salidas]]</f>
        <v>2</v>
      </c>
    </row>
    <row r="495" spans="2:8" x14ac:dyDescent="0.25">
      <c r="B495" t="str">
        <f>_xlfn.CONCAT("Prod-",TEXT(ROW(B495),"0000"))</f>
        <v>Prod-0495</v>
      </c>
      <c r="C495" t="s">
        <v>190</v>
      </c>
      <c r="D495" s="1"/>
      <c r="E495" s="1"/>
      <c r="F495">
        <v>1</v>
      </c>
      <c r="H495">
        <f>PRODUTOS[[#This Row],[Entrada]]-PRODUTOS[[#This Row],[Salidas]]</f>
        <v>1</v>
      </c>
    </row>
    <row r="496" spans="2:8" x14ac:dyDescent="0.25">
      <c r="B496" t="str">
        <f>_xlfn.CONCAT("Prod-",TEXT(ROW(B496),"0000"))</f>
        <v>Prod-0496</v>
      </c>
      <c r="C496" t="s">
        <v>191</v>
      </c>
      <c r="D496" s="1"/>
      <c r="E496" s="1"/>
      <c r="F496">
        <v>1</v>
      </c>
      <c r="H496">
        <f>PRODUTOS[[#This Row],[Entrada]]-PRODUTOS[[#This Row],[Salidas]]</f>
        <v>1</v>
      </c>
    </row>
    <row r="497" spans="2:8" x14ac:dyDescent="0.25">
      <c r="B497" t="str">
        <f>_xlfn.CONCAT("Prod-",TEXT(ROW(B497),"0000"))</f>
        <v>Prod-0497</v>
      </c>
      <c r="C497" t="s">
        <v>128</v>
      </c>
      <c r="D497" s="1"/>
      <c r="E497" s="1"/>
      <c r="F497">
        <v>6</v>
      </c>
      <c r="H497">
        <f>PRODUTOS[[#This Row],[Entrada]]-PRODUTOS[[#This Row],[Salidas]]</f>
        <v>6</v>
      </c>
    </row>
    <row r="498" spans="2:8" x14ac:dyDescent="0.25">
      <c r="B498" t="str">
        <f>_xlfn.CONCAT("Prod-",TEXT(ROW(B498),"0000"))</f>
        <v>Prod-0498</v>
      </c>
      <c r="C498" t="s">
        <v>130</v>
      </c>
      <c r="D498" s="1"/>
      <c r="E498" s="1"/>
      <c r="F498">
        <v>5</v>
      </c>
      <c r="H498">
        <f>PRODUTOS[[#This Row],[Entrada]]-PRODUTOS[[#This Row],[Salidas]]</f>
        <v>5</v>
      </c>
    </row>
    <row r="499" spans="2:8" x14ac:dyDescent="0.25">
      <c r="B499" t="str">
        <f>_xlfn.CONCAT("Prod-",TEXT(ROW(B499),"0000"))</f>
        <v>Prod-0499</v>
      </c>
      <c r="C499" t="s">
        <v>127</v>
      </c>
      <c r="D499" s="1"/>
      <c r="E499" s="1"/>
      <c r="F499">
        <v>6</v>
      </c>
      <c r="H499">
        <f>PRODUTOS[[#This Row],[Entrada]]-PRODUTOS[[#This Row],[Salidas]]</f>
        <v>6</v>
      </c>
    </row>
    <row r="500" spans="2:8" x14ac:dyDescent="0.25">
      <c r="B500" t="str">
        <f>_xlfn.CONCAT("Prod-",TEXT(ROW(B500),"0000"))</f>
        <v>Prod-0500</v>
      </c>
      <c r="C500" t="s">
        <v>129</v>
      </c>
      <c r="D500" s="1"/>
      <c r="E500" s="1"/>
      <c r="F500">
        <v>1</v>
      </c>
      <c r="H500">
        <f>PRODUTOS[[#This Row],[Entrada]]-PRODUTOS[[#This Row],[Salidas]]</f>
        <v>1</v>
      </c>
    </row>
    <row r="501" spans="2:8" x14ac:dyDescent="0.25">
      <c r="B501" t="str">
        <f>_xlfn.CONCAT("Prod-",TEXT(ROW(B501),"0000"))</f>
        <v>Prod-0501</v>
      </c>
      <c r="C501" t="s">
        <v>131</v>
      </c>
      <c r="D501" s="1"/>
      <c r="E501" s="1"/>
      <c r="F501">
        <v>1</v>
      </c>
      <c r="H501">
        <f>PRODUTOS[[#This Row],[Entrada]]-PRODUTOS[[#This Row],[Salidas]]</f>
        <v>1</v>
      </c>
    </row>
    <row r="502" spans="2:8" x14ac:dyDescent="0.25">
      <c r="B502" t="str">
        <f>_xlfn.CONCAT("Prod-",TEXT(ROW(B502),"0000"))</f>
        <v>Prod-0502</v>
      </c>
      <c r="C502" t="s">
        <v>357</v>
      </c>
      <c r="D502" s="1"/>
      <c r="E502" s="1"/>
      <c r="F502">
        <v>8</v>
      </c>
      <c r="H502">
        <f>PRODUTOS[[#This Row],[Entrada]]-PRODUTOS[[#This Row],[Salidas]]</f>
        <v>8</v>
      </c>
    </row>
    <row r="503" spans="2:8" x14ac:dyDescent="0.25">
      <c r="B503" t="str">
        <f>_xlfn.CONCAT("Prod-",TEXT(ROW(B503),"0000"))</f>
        <v>Prod-0503</v>
      </c>
      <c r="C503" t="s">
        <v>374</v>
      </c>
      <c r="D503" s="1"/>
      <c r="E503" s="1"/>
      <c r="F503">
        <v>2</v>
      </c>
      <c r="H503">
        <f>PRODUTOS[[#This Row],[Entrada]]-PRODUTOS[[#This Row],[Salidas]]</f>
        <v>2</v>
      </c>
    </row>
    <row r="504" spans="2:8" x14ac:dyDescent="0.25">
      <c r="B504" t="str">
        <f>_xlfn.CONCAT("Prod-",TEXT(ROW(B504),"0000"))</f>
        <v>Prod-0504</v>
      </c>
      <c r="C504" t="s">
        <v>358</v>
      </c>
      <c r="D504" s="1"/>
      <c r="E504" s="1"/>
      <c r="F504">
        <v>4</v>
      </c>
      <c r="H504">
        <f>PRODUTOS[[#This Row],[Entrada]]-PRODUTOS[[#This Row],[Salidas]]</f>
        <v>4</v>
      </c>
    </row>
    <row r="505" spans="2:8" x14ac:dyDescent="0.25">
      <c r="B505" t="str">
        <f>_xlfn.CONCAT("Prod-",TEXT(ROW(B505),"0000"))</f>
        <v>Prod-0505</v>
      </c>
      <c r="C505" t="s">
        <v>356</v>
      </c>
      <c r="D505" s="1"/>
      <c r="E505" s="1"/>
      <c r="F505">
        <v>7</v>
      </c>
      <c r="H505">
        <f>PRODUTOS[[#This Row],[Entrada]]-PRODUTOS[[#This Row],[Salidas]]</f>
        <v>7</v>
      </c>
    </row>
    <row r="506" spans="2:8" x14ac:dyDescent="0.25">
      <c r="B506" t="str">
        <f>_xlfn.CONCAT("Prod-",TEXT(ROW(B506),"0000"))</f>
        <v>Prod-0506</v>
      </c>
      <c r="C506" t="s">
        <v>290</v>
      </c>
      <c r="D506" s="1"/>
      <c r="E506" s="1"/>
      <c r="F506">
        <v>5</v>
      </c>
      <c r="H506">
        <f>PRODUTOS[[#This Row],[Entrada]]-PRODUTOS[[#This Row],[Salidas]]</f>
        <v>5</v>
      </c>
    </row>
    <row r="507" spans="2:8" x14ac:dyDescent="0.25">
      <c r="B507" t="str">
        <f>_xlfn.CONCAT("Prod-",TEXT(ROW(B507),"0000"))</f>
        <v>Prod-0507</v>
      </c>
      <c r="C507" t="s">
        <v>295</v>
      </c>
      <c r="D507" s="1"/>
      <c r="E507" s="1"/>
      <c r="F507">
        <v>1</v>
      </c>
      <c r="H507">
        <f>PRODUTOS[[#This Row],[Entrada]]-PRODUTOS[[#This Row],[Salidas]]</f>
        <v>1</v>
      </c>
    </row>
    <row r="508" spans="2:8" x14ac:dyDescent="0.25">
      <c r="B508" t="str">
        <f>_xlfn.CONCAT("Prod-",TEXT(ROW(B508),"0000"))</f>
        <v>Prod-0508</v>
      </c>
      <c r="C508" t="s">
        <v>304</v>
      </c>
      <c r="D508" s="1"/>
      <c r="E508" s="1"/>
      <c r="F508">
        <v>3</v>
      </c>
      <c r="H508">
        <f>PRODUTOS[[#This Row],[Entrada]]-PRODUTOS[[#This Row],[Salidas]]</f>
        <v>3</v>
      </c>
    </row>
    <row r="509" spans="2:8" x14ac:dyDescent="0.25">
      <c r="B509" t="str">
        <f>_xlfn.CONCAT("Prod-",TEXT(ROW(B509),"0000"))</f>
        <v>Prod-0509</v>
      </c>
      <c r="C509" t="s">
        <v>289</v>
      </c>
      <c r="D509" s="1"/>
      <c r="E509" s="1"/>
      <c r="F509">
        <v>9</v>
      </c>
      <c r="H509">
        <f>PRODUTOS[[#This Row],[Entrada]]-PRODUTOS[[#This Row],[Salidas]]</f>
        <v>9</v>
      </c>
    </row>
    <row r="510" spans="2:8" x14ac:dyDescent="0.25">
      <c r="B510" t="str">
        <f>_xlfn.CONCAT("Prod-",TEXT(ROW(B510),"0000"))</f>
        <v>Prod-0510</v>
      </c>
      <c r="C510" t="s">
        <v>294</v>
      </c>
      <c r="D510" s="1"/>
      <c r="E510" s="1"/>
      <c r="F510">
        <v>8</v>
      </c>
      <c r="H510">
        <f>PRODUTOS[[#This Row],[Entrada]]-PRODUTOS[[#This Row],[Salidas]]</f>
        <v>8</v>
      </c>
    </row>
    <row r="511" spans="2:8" x14ac:dyDescent="0.25">
      <c r="B511" t="str">
        <f>_xlfn.CONCAT("Prod-",TEXT(ROW(B511),"0000"))</f>
        <v>Prod-0511</v>
      </c>
      <c r="C511" t="s">
        <v>303</v>
      </c>
      <c r="D511" s="1"/>
      <c r="E511" s="1"/>
      <c r="F511">
        <v>5</v>
      </c>
      <c r="H511">
        <f>PRODUTOS[[#This Row],[Entrada]]-PRODUTOS[[#This Row],[Salidas]]</f>
        <v>5</v>
      </c>
    </row>
    <row r="512" spans="2:8" x14ac:dyDescent="0.25">
      <c r="B512" t="str">
        <f>_xlfn.CONCAT("Prod-",TEXT(ROW(B512),"0000"))</f>
        <v>Prod-0512</v>
      </c>
      <c r="C512" t="s">
        <v>92</v>
      </c>
      <c r="D512" s="1"/>
      <c r="E512" s="1"/>
      <c r="F512">
        <v>2</v>
      </c>
      <c r="H512">
        <f>PRODUTOS[[#This Row],[Entrada]]-PRODUTOS[[#This Row],[Salidas]]</f>
        <v>2</v>
      </c>
    </row>
    <row r="513" spans="2:8" x14ac:dyDescent="0.25">
      <c r="B513" t="str">
        <f>_xlfn.CONCAT("Prod-",TEXT(ROW(B513),"0000"))</f>
        <v>Prod-0513</v>
      </c>
      <c r="C513" t="s">
        <v>101</v>
      </c>
      <c r="D513" s="1"/>
      <c r="E513" s="1"/>
      <c r="F513">
        <v>4</v>
      </c>
      <c r="H513">
        <f>PRODUTOS[[#This Row],[Entrada]]-PRODUTOS[[#This Row],[Salidas]]</f>
        <v>4</v>
      </c>
    </row>
    <row r="514" spans="2:8" x14ac:dyDescent="0.25">
      <c r="B514" t="str">
        <f>_xlfn.CONCAT("Prod-",TEXT(ROW(B514),"0000"))</f>
        <v>Prod-0514</v>
      </c>
      <c r="C514" t="s">
        <v>102</v>
      </c>
      <c r="D514" s="1"/>
      <c r="E514" s="1"/>
      <c r="F514">
        <v>7</v>
      </c>
      <c r="H514">
        <f>PRODUTOS[[#This Row],[Entrada]]-PRODUTOS[[#This Row],[Salidas]]</f>
        <v>7</v>
      </c>
    </row>
    <row r="515" spans="2:8" x14ac:dyDescent="0.25">
      <c r="B515" t="str">
        <f>_xlfn.CONCAT("Prod-",TEXT(ROW(B515),"0000"))</f>
        <v>Prod-0515</v>
      </c>
      <c r="C515" t="s">
        <v>154</v>
      </c>
      <c r="D515" s="1"/>
      <c r="E515" s="1"/>
      <c r="F515">
        <v>1</v>
      </c>
      <c r="H515">
        <f>PRODUTOS[[#This Row],[Entrada]]-PRODUTOS[[#This Row],[Salidas]]</f>
        <v>1</v>
      </c>
    </row>
    <row r="516" spans="2:8" x14ac:dyDescent="0.25">
      <c r="B516" t="str">
        <f>_xlfn.CONCAT("Prod-",TEXT(ROW(B516),"0000"))</f>
        <v>Prod-0516</v>
      </c>
      <c r="C516" t="s">
        <v>87</v>
      </c>
      <c r="D516" s="1"/>
      <c r="E516" s="1"/>
      <c r="F516">
        <v>8</v>
      </c>
      <c r="H516">
        <f>PRODUTOS[[#This Row],[Entrada]]-PRODUTOS[[#This Row],[Salidas]]</f>
        <v>8</v>
      </c>
    </row>
    <row r="517" spans="2:8" x14ac:dyDescent="0.25">
      <c r="B517" t="str">
        <f>_xlfn.CONCAT("Prod-",TEXT(ROW(B517),"0000"))</f>
        <v>Prod-0517</v>
      </c>
      <c r="C517" t="s">
        <v>88</v>
      </c>
      <c r="D517" s="1"/>
      <c r="E517" s="1"/>
      <c r="F517">
        <v>2</v>
      </c>
      <c r="H517">
        <f>PRODUTOS[[#This Row],[Entrada]]-PRODUTOS[[#This Row],[Salidas]]</f>
        <v>2</v>
      </c>
    </row>
    <row r="518" spans="2:8" x14ac:dyDescent="0.25">
      <c r="B518" t="str">
        <f>_xlfn.CONCAT("Prod-",TEXT(ROW(B518),"0000"))</f>
        <v>Prod-0518</v>
      </c>
      <c r="C518" t="s">
        <v>91</v>
      </c>
      <c r="D518" s="1"/>
      <c r="E518" s="1"/>
      <c r="F518">
        <v>2</v>
      </c>
      <c r="H518">
        <f>PRODUTOS[[#This Row],[Entrada]]-PRODUTOS[[#This Row],[Salidas]]</f>
        <v>2</v>
      </c>
    </row>
    <row r="519" spans="2:8" x14ac:dyDescent="0.25">
      <c r="B519" t="str">
        <f>_xlfn.CONCAT("Prod-",TEXT(ROW(B519),"0000"))</f>
        <v>Prod-0519</v>
      </c>
      <c r="C519" t="s">
        <v>89</v>
      </c>
      <c r="D519" s="1"/>
      <c r="E519" s="1"/>
      <c r="F519">
        <v>3</v>
      </c>
      <c r="H519">
        <f>PRODUTOS[[#This Row],[Entrada]]-PRODUTOS[[#This Row],[Salidas]]</f>
        <v>3</v>
      </c>
    </row>
    <row r="520" spans="2:8" x14ac:dyDescent="0.25">
      <c r="B520" t="str">
        <f>_xlfn.CONCAT("Prod-",TEXT(ROW(B520),"0000"))</f>
        <v>Prod-0520</v>
      </c>
      <c r="C520" t="s">
        <v>252</v>
      </c>
      <c r="D520" s="1"/>
      <c r="E520" s="1"/>
      <c r="F520">
        <v>9</v>
      </c>
      <c r="H520">
        <f>PRODUTOS[[#This Row],[Entrada]]-PRODUTOS[[#This Row],[Salidas]]</f>
        <v>9</v>
      </c>
    </row>
    <row r="521" spans="2:8" x14ac:dyDescent="0.25">
      <c r="B521" t="str">
        <f>_xlfn.CONCAT("Prod-",TEXT(ROW(B521),"0000"))</f>
        <v>Prod-0521</v>
      </c>
      <c r="C521" t="s">
        <v>459</v>
      </c>
      <c r="D521" s="1"/>
      <c r="E521" s="1"/>
      <c r="F521">
        <v>1</v>
      </c>
      <c r="H521">
        <f>PRODUTOS[[#This Row],[Entrada]]-PRODUTOS[[#This Row],[Salidas]]</f>
        <v>1</v>
      </c>
    </row>
    <row r="522" spans="2:8" x14ac:dyDescent="0.25">
      <c r="B522" t="str">
        <f>_xlfn.CONCAT("Prod-",TEXT(ROW(B522),"0000"))</f>
        <v>Prod-0522</v>
      </c>
      <c r="C522" t="s">
        <v>454</v>
      </c>
      <c r="D522" s="1"/>
      <c r="E522" s="1"/>
      <c r="F522">
        <v>9</v>
      </c>
      <c r="H522">
        <f>PRODUTOS[[#This Row],[Entrada]]-PRODUTOS[[#This Row],[Salidas]]</f>
        <v>9</v>
      </c>
    </row>
    <row r="523" spans="2:8" x14ac:dyDescent="0.25">
      <c r="B523" t="str">
        <f>_xlfn.CONCAT("Prod-",TEXT(ROW(B523),"0000"))</f>
        <v>Prod-0523</v>
      </c>
      <c r="C523" t="s">
        <v>673</v>
      </c>
      <c r="D523" s="1"/>
      <c r="E523" s="1">
        <v>1.8</v>
      </c>
      <c r="F523">
        <v>18</v>
      </c>
      <c r="H523">
        <f>PRODUTOS[[#This Row],[Entrada]]-PRODUTOS[[#This Row],[Salidas]]</f>
        <v>18</v>
      </c>
    </row>
    <row r="524" spans="2:8" x14ac:dyDescent="0.25">
      <c r="B524" t="str">
        <f>_xlfn.CONCAT("Prod-",TEXT(ROW(B524),"0000"))</f>
        <v>Prod-0524</v>
      </c>
      <c r="C524" t="s">
        <v>674</v>
      </c>
      <c r="D524" s="1"/>
      <c r="E524" s="1">
        <v>1.4</v>
      </c>
      <c r="F524">
        <v>3</v>
      </c>
      <c r="H524">
        <f>PRODUTOS[[#This Row],[Entrada]]-PRODUTOS[[#This Row],[Salidas]]</f>
        <v>3</v>
      </c>
    </row>
    <row r="525" spans="2:8" x14ac:dyDescent="0.25">
      <c r="B525" t="str">
        <f>_xlfn.CONCAT("Prod-",TEXT(ROW(B525),"0000"))</f>
        <v>Prod-0525</v>
      </c>
      <c r="C525" t="s">
        <v>465</v>
      </c>
      <c r="D525" s="1"/>
      <c r="E525" s="1"/>
      <c r="F525">
        <v>1</v>
      </c>
      <c r="H525">
        <f>PRODUTOS[[#This Row],[Entrada]]-PRODUTOS[[#This Row],[Salidas]]</f>
        <v>1</v>
      </c>
    </row>
    <row r="526" spans="2:8" x14ac:dyDescent="0.25">
      <c r="B526" t="str">
        <f>_xlfn.CONCAT("Prod-",TEXT(ROW(B526),"0000"))</f>
        <v>Prod-0526</v>
      </c>
      <c r="C526" t="s">
        <v>366</v>
      </c>
      <c r="D526" s="1"/>
      <c r="E526" s="1"/>
      <c r="F526">
        <v>5</v>
      </c>
      <c r="H526">
        <f>PRODUTOS[[#This Row],[Entrada]]-PRODUTOS[[#This Row],[Salidas]]</f>
        <v>5</v>
      </c>
    </row>
    <row r="527" spans="2:8" x14ac:dyDescent="0.25">
      <c r="B527" t="str">
        <f>_xlfn.CONCAT("Prod-",TEXT(ROW(B527),"0000"))</f>
        <v>Prod-0527</v>
      </c>
      <c r="C527" t="s">
        <v>364</v>
      </c>
      <c r="D527" s="1"/>
      <c r="E527" s="1"/>
      <c r="F527">
        <v>13</v>
      </c>
      <c r="H527">
        <f>PRODUTOS[[#This Row],[Entrada]]-PRODUTOS[[#This Row],[Salidas]]</f>
        <v>13</v>
      </c>
    </row>
    <row r="528" spans="2:8" x14ac:dyDescent="0.25">
      <c r="B528" t="str">
        <f>_xlfn.CONCAT("Prod-",TEXT(ROW(B528),"0000"))</f>
        <v>Prod-0528</v>
      </c>
      <c r="C528" t="s">
        <v>367</v>
      </c>
      <c r="D528" s="1"/>
      <c r="E528" s="1"/>
      <c r="F528">
        <v>10</v>
      </c>
      <c r="H528">
        <f>PRODUTOS[[#This Row],[Entrada]]-PRODUTOS[[#This Row],[Salidas]]</f>
        <v>10</v>
      </c>
    </row>
    <row r="529" spans="2:8" x14ac:dyDescent="0.25">
      <c r="B529" t="str">
        <f>_xlfn.CONCAT("Prod-",TEXT(ROW(B529),"0000"))</f>
        <v>Prod-0529</v>
      </c>
      <c r="C529" t="s">
        <v>138</v>
      </c>
      <c r="D529" s="1"/>
      <c r="E529" s="1"/>
      <c r="F529">
        <v>4</v>
      </c>
      <c r="H529">
        <f>PRODUTOS[[#This Row],[Entrada]]-PRODUTOS[[#This Row],[Salidas]]</f>
        <v>4</v>
      </c>
    </row>
    <row r="530" spans="2:8" x14ac:dyDescent="0.25">
      <c r="B530" t="str">
        <f>_xlfn.CONCAT("Prod-",TEXT(ROW(B530),"0000"))</f>
        <v>Prod-0530</v>
      </c>
      <c r="C530" t="s">
        <v>144</v>
      </c>
      <c r="D530" s="1"/>
      <c r="E530" s="1"/>
      <c r="F530">
        <v>1</v>
      </c>
      <c r="H530">
        <f>PRODUTOS[[#This Row],[Entrada]]-PRODUTOS[[#This Row],[Salidas]]</f>
        <v>1</v>
      </c>
    </row>
    <row r="531" spans="2:8" x14ac:dyDescent="0.25">
      <c r="B531" t="str">
        <f>_xlfn.CONCAT("Prod-",TEXT(ROW(B531),"0000"))</f>
        <v>Prod-0531</v>
      </c>
      <c r="C531" t="s">
        <v>141</v>
      </c>
      <c r="D531" s="1"/>
      <c r="E531" s="1"/>
      <c r="F531">
        <v>2</v>
      </c>
      <c r="H531">
        <f>PRODUTOS[[#This Row],[Entrada]]-PRODUTOS[[#This Row],[Salidas]]</f>
        <v>2</v>
      </c>
    </row>
    <row r="532" spans="2:8" x14ac:dyDescent="0.25">
      <c r="B532" t="str">
        <f>_xlfn.CONCAT("Prod-",TEXT(ROW(B532),"0000"))</f>
        <v>Prod-0532</v>
      </c>
      <c r="C532" t="s">
        <v>140</v>
      </c>
      <c r="D532" s="1"/>
      <c r="E532" s="1"/>
      <c r="F532">
        <v>1</v>
      </c>
      <c r="H532">
        <f>PRODUTOS[[#This Row],[Entrada]]-PRODUTOS[[#This Row],[Salidas]]</f>
        <v>1</v>
      </c>
    </row>
    <row r="533" spans="2:8" x14ac:dyDescent="0.25">
      <c r="B533" t="str">
        <f>_xlfn.CONCAT("Prod-",TEXT(ROW(B533),"0000"))</f>
        <v>Prod-0533</v>
      </c>
      <c r="C533" t="s">
        <v>142</v>
      </c>
      <c r="D533" s="1"/>
      <c r="E533" s="1"/>
      <c r="F533">
        <v>5</v>
      </c>
      <c r="H533">
        <f>PRODUTOS[[#This Row],[Entrada]]-PRODUTOS[[#This Row],[Salidas]]</f>
        <v>5</v>
      </c>
    </row>
    <row r="534" spans="2:8" x14ac:dyDescent="0.25">
      <c r="B534" t="str">
        <f>_xlfn.CONCAT("Prod-",TEXT(ROW(B534),"0000"))</f>
        <v>Prod-0534</v>
      </c>
      <c r="C534" t="s">
        <v>147</v>
      </c>
      <c r="D534" s="1"/>
      <c r="E534" s="1"/>
      <c r="F534">
        <v>3</v>
      </c>
      <c r="H534">
        <f>PRODUTOS[[#This Row],[Entrada]]-PRODUTOS[[#This Row],[Salidas]]</f>
        <v>3</v>
      </c>
    </row>
    <row r="535" spans="2:8" x14ac:dyDescent="0.25">
      <c r="B535" t="str">
        <f>_xlfn.CONCAT("Prod-",TEXT(ROW(B535),"0000"))</f>
        <v>Prod-0535</v>
      </c>
      <c r="C535" t="s">
        <v>146</v>
      </c>
      <c r="D535" s="1"/>
      <c r="E535" s="1"/>
      <c r="F535">
        <v>2</v>
      </c>
      <c r="H535">
        <f>PRODUTOS[[#This Row],[Entrada]]-PRODUTOS[[#This Row],[Salidas]]</f>
        <v>2</v>
      </c>
    </row>
    <row r="536" spans="2:8" x14ac:dyDescent="0.25">
      <c r="B536" t="str">
        <f>_xlfn.CONCAT("Prod-",TEXT(ROW(B536),"0000"))</f>
        <v>Prod-0536</v>
      </c>
      <c r="C536" t="s">
        <v>137</v>
      </c>
      <c r="D536" s="1"/>
      <c r="E536" s="1"/>
      <c r="F536">
        <v>4</v>
      </c>
      <c r="H536">
        <f>PRODUTOS[[#This Row],[Entrada]]-PRODUTOS[[#This Row],[Salidas]]</f>
        <v>4</v>
      </c>
    </row>
    <row r="537" spans="2:8" x14ac:dyDescent="0.25">
      <c r="B537" t="str">
        <f>_xlfn.CONCAT("Prod-",TEXT(ROW(B537),"0000"))</f>
        <v>Prod-0537</v>
      </c>
      <c r="C537" t="s">
        <v>143</v>
      </c>
      <c r="D537" s="1"/>
      <c r="E537" s="1"/>
      <c r="F537">
        <v>3</v>
      </c>
      <c r="H537">
        <f>PRODUTOS[[#This Row],[Entrada]]-PRODUTOS[[#This Row],[Salidas]]</f>
        <v>3</v>
      </c>
    </row>
    <row r="538" spans="2:8" x14ac:dyDescent="0.25">
      <c r="B538" t="str">
        <f>_xlfn.CONCAT("Prod-",TEXT(ROW(B538),"0000"))</f>
        <v>Prod-0538</v>
      </c>
      <c r="C538" t="s">
        <v>148</v>
      </c>
      <c r="D538" s="1"/>
      <c r="E538" s="1"/>
      <c r="F538">
        <v>8</v>
      </c>
      <c r="H538">
        <f>PRODUTOS[[#This Row],[Entrada]]-PRODUTOS[[#This Row],[Salidas]]</f>
        <v>8</v>
      </c>
    </row>
    <row r="539" spans="2:8" x14ac:dyDescent="0.25">
      <c r="B539" t="str">
        <f>_xlfn.CONCAT("Prod-",TEXT(ROW(B539),"0000"))</f>
        <v>Prod-0539</v>
      </c>
      <c r="C539" t="s">
        <v>139</v>
      </c>
      <c r="D539" s="1"/>
      <c r="E539" s="1"/>
      <c r="F539">
        <v>4</v>
      </c>
      <c r="H539">
        <f>PRODUTOS[[#This Row],[Entrada]]-PRODUTOS[[#This Row],[Salidas]]</f>
        <v>4</v>
      </c>
    </row>
    <row r="540" spans="2:8" x14ac:dyDescent="0.25">
      <c r="B540" t="str">
        <f>_xlfn.CONCAT("Prod-",TEXT(ROW(B540),"0000"))</f>
        <v>Prod-0540</v>
      </c>
      <c r="C540" t="s">
        <v>145</v>
      </c>
      <c r="D540" s="1"/>
      <c r="E540" s="1"/>
      <c r="F540">
        <v>1</v>
      </c>
      <c r="H540">
        <f>PRODUTOS[[#This Row],[Entrada]]-PRODUTOS[[#This Row],[Salidas]]</f>
        <v>1</v>
      </c>
    </row>
    <row r="541" spans="2:8" x14ac:dyDescent="0.25">
      <c r="B541" t="str">
        <f>_xlfn.CONCAT("Prod-",TEXT(ROW(B541),"0000"))</f>
        <v>Prod-0541</v>
      </c>
      <c r="C541" t="s">
        <v>149</v>
      </c>
      <c r="D541" s="1"/>
      <c r="E541" s="1"/>
      <c r="F541">
        <v>11</v>
      </c>
      <c r="H541">
        <f>PRODUTOS[[#This Row],[Entrada]]-PRODUTOS[[#This Row],[Salidas]]</f>
        <v>11</v>
      </c>
    </row>
    <row r="542" spans="2:8" x14ac:dyDescent="0.25">
      <c r="B542" t="str">
        <f>_xlfn.CONCAT("Prod-",TEXT(ROW(B542),"0000"))</f>
        <v>Prod-0542</v>
      </c>
      <c r="C542" t="s">
        <v>667</v>
      </c>
      <c r="D542" s="1"/>
      <c r="E542" s="1"/>
      <c r="H542">
        <f>PRODUTOS[[#This Row],[Entrada]]-PRODUTOS[[#This Row],[Salidas]]</f>
        <v>0</v>
      </c>
    </row>
    <row r="543" spans="2:8" x14ac:dyDescent="0.25">
      <c r="B543" t="str">
        <f>_xlfn.CONCAT("Prod-",TEXT(ROW(B543),"0000"))</f>
        <v>Prod-0543</v>
      </c>
      <c r="C543" t="s">
        <v>671</v>
      </c>
      <c r="D543" s="1"/>
      <c r="E543" s="1"/>
      <c r="H543">
        <f>PRODUTOS[[#This Row],[Entrada]]-PRODUTOS[[#This Row],[Salidas]]</f>
        <v>0</v>
      </c>
    </row>
    <row r="544" spans="2:8" x14ac:dyDescent="0.25">
      <c r="B544" t="str">
        <f>_xlfn.CONCAT("Prod-",TEXT(ROW(B544),"0000"))</f>
        <v>Prod-0544</v>
      </c>
      <c r="C544" t="s">
        <v>670</v>
      </c>
      <c r="D544" s="1"/>
      <c r="E544" s="1"/>
      <c r="H544">
        <f>PRODUTOS[[#This Row],[Entrada]]-PRODUTOS[[#This Row],[Salidas]]</f>
        <v>0</v>
      </c>
    </row>
    <row r="545" spans="2:8" x14ac:dyDescent="0.25">
      <c r="B545" t="str">
        <f>_xlfn.CONCAT("Prod-",TEXT(ROW(B545),"0000"))</f>
        <v>Prod-0545</v>
      </c>
      <c r="C545" t="s">
        <v>669</v>
      </c>
      <c r="D545" s="1"/>
      <c r="E545" s="1"/>
      <c r="H545">
        <f>PRODUTOS[[#This Row],[Entrada]]-PRODUTOS[[#This Row],[Salidas]]</f>
        <v>0</v>
      </c>
    </row>
    <row r="546" spans="2:8" x14ac:dyDescent="0.25">
      <c r="B546" t="str">
        <f>_xlfn.CONCAT("Prod-",TEXT(ROW(B546),"0000"))</f>
        <v>Prod-0546</v>
      </c>
      <c r="C546" t="s">
        <v>668</v>
      </c>
      <c r="D546" s="1"/>
      <c r="E546" s="1"/>
      <c r="H546">
        <f>PRODUTOS[[#This Row],[Entrada]]-PRODUTOS[[#This Row],[Salidas]]</f>
        <v>0</v>
      </c>
    </row>
    <row r="547" spans="2:8" x14ac:dyDescent="0.25">
      <c r="B547" t="str">
        <f>_xlfn.CONCAT("Prod-",TEXT(ROW(B547),"0000"))</f>
        <v>Prod-0547</v>
      </c>
      <c r="C547" t="s">
        <v>276</v>
      </c>
      <c r="D547" s="1"/>
      <c r="E547" s="1"/>
      <c r="F547">
        <v>4</v>
      </c>
      <c r="H547">
        <f>PRODUTOS[[#This Row],[Entrada]]-PRODUTOS[[#This Row],[Salidas]]</f>
        <v>4</v>
      </c>
    </row>
    <row r="548" spans="2:8" x14ac:dyDescent="0.25">
      <c r="B548" t="str">
        <f>_xlfn.CONCAT("Prod-",TEXT(ROW(B548),"0000"))</f>
        <v>Prod-0548</v>
      </c>
      <c r="C548" t="s">
        <v>275</v>
      </c>
      <c r="D548" s="1"/>
      <c r="E548" s="1"/>
      <c r="F548">
        <v>10</v>
      </c>
      <c r="H548">
        <f>PRODUTOS[[#This Row],[Entrada]]-PRODUTOS[[#This Row],[Salidas]]</f>
        <v>10</v>
      </c>
    </row>
    <row r="549" spans="2:8" x14ac:dyDescent="0.25">
      <c r="B549" t="str">
        <f>_xlfn.CONCAT("Prod-",TEXT(ROW(B549),"0000"))</f>
        <v>Prod-0549</v>
      </c>
      <c r="C549" t="s">
        <v>280</v>
      </c>
      <c r="D549" s="1"/>
      <c r="E549" s="1"/>
      <c r="F549">
        <v>7</v>
      </c>
      <c r="H549">
        <f>PRODUTOS[[#This Row],[Entrada]]-PRODUTOS[[#This Row],[Salidas]]</f>
        <v>7</v>
      </c>
    </row>
    <row r="550" spans="2:8" x14ac:dyDescent="0.25">
      <c r="B550" t="str">
        <f>_xlfn.CONCAT("Prod-",TEXT(ROW(B550),"0000"))</f>
        <v>Prod-0550</v>
      </c>
      <c r="C550" t="s">
        <v>279</v>
      </c>
      <c r="D550" s="1"/>
      <c r="E550" s="1"/>
      <c r="F550">
        <v>6</v>
      </c>
      <c r="H550">
        <f>PRODUTOS[[#This Row],[Entrada]]-PRODUTOS[[#This Row],[Salidas]]</f>
        <v>6</v>
      </c>
    </row>
    <row r="551" spans="2:8" x14ac:dyDescent="0.25">
      <c r="B551" t="str">
        <f>_xlfn.CONCAT("Prod-",TEXT(ROW(B551),"0000"))</f>
        <v>Prod-0551</v>
      </c>
      <c r="C551" t="s">
        <v>274</v>
      </c>
      <c r="D551" s="1"/>
      <c r="E551" s="1"/>
      <c r="F551">
        <v>4</v>
      </c>
      <c r="H551">
        <f>PRODUTOS[[#This Row],[Entrada]]-PRODUTOS[[#This Row],[Salidas]]</f>
        <v>4</v>
      </c>
    </row>
    <row r="552" spans="2:8" x14ac:dyDescent="0.25">
      <c r="B552" t="str">
        <f>_xlfn.CONCAT("Prod-",TEXT(ROW(B552),"0000"))</f>
        <v>Prod-0552</v>
      </c>
      <c r="C552" t="s">
        <v>273</v>
      </c>
      <c r="D552" s="1"/>
      <c r="E552" s="1"/>
      <c r="F552">
        <v>20</v>
      </c>
      <c r="H552">
        <f>PRODUTOS[[#This Row],[Entrada]]-PRODUTOS[[#This Row],[Salidas]]</f>
        <v>20</v>
      </c>
    </row>
    <row r="553" spans="2:8" x14ac:dyDescent="0.25">
      <c r="B553" t="str">
        <f>_xlfn.CONCAT("Prod-",TEXT(ROW(B553),"0000"))</f>
        <v>Prod-0553</v>
      </c>
      <c r="C553" t="s">
        <v>277</v>
      </c>
      <c r="D553" s="1"/>
      <c r="E553" s="1"/>
      <c r="F553">
        <v>12</v>
      </c>
      <c r="H553">
        <f>PRODUTOS[[#This Row],[Entrada]]-PRODUTOS[[#This Row],[Salidas]]</f>
        <v>12</v>
      </c>
    </row>
    <row r="554" spans="2:8" x14ac:dyDescent="0.25">
      <c r="B554" t="str">
        <f>_xlfn.CONCAT("Prod-",TEXT(ROW(B554),"0000"))</f>
        <v>Prod-0554</v>
      </c>
      <c r="C554" t="s">
        <v>278</v>
      </c>
      <c r="D554" s="1"/>
      <c r="E554" s="1"/>
      <c r="F554">
        <v>16</v>
      </c>
      <c r="H554">
        <f>PRODUTOS[[#This Row],[Entrada]]-PRODUTOS[[#This Row],[Salidas]]</f>
        <v>16</v>
      </c>
    </row>
    <row r="555" spans="2:8" x14ac:dyDescent="0.25">
      <c r="B555" t="str">
        <f>_xlfn.CONCAT("Prod-",TEXT(ROW(B555),"0000"))</f>
        <v>Prod-0555</v>
      </c>
      <c r="C555" t="s">
        <v>471</v>
      </c>
      <c r="D555" s="1"/>
      <c r="E555" s="1"/>
      <c r="F555">
        <v>10</v>
      </c>
      <c r="H555">
        <f>PRODUTOS[[#This Row],[Entrada]]-PRODUTOS[[#This Row],[Salidas]]</f>
        <v>10</v>
      </c>
    </row>
    <row r="556" spans="2:8" x14ac:dyDescent="0.25">
      <c r="B556" t="str">
        <f>_xlfn.CONCAT("Prod-",TEXT(ROW(B556),"0000"))</f>
        <v>Prod-0556</v>
      </c>
      <c r="C556" t="s">
        <v>575</v>
      </c>
      <c r="D556" s="1"/>
      <c r="E556" s="1"/>
      <c r="F556">
        <v>5</v>
      </c>
      <c r="H556">
        <f>PRODUTOS[[#This Row],[Entrada]]-PRODUTOS[[#This Row],[Salidas]]</f>
        <v>5</v>
      </c>
    </row>
    <row r="557" spans="2:8" x14ac:dyDescent="0.25">
      <c r="B557" t="str">
        <f>_xlfn.CONCAT("Prod-",TEXT(ROW(B557),"0000"))</f>
        <v>Prod-0557</v>
      </c>
      <c r="C557" t="s">
        <v>571</v>
      </c>
      <c r="D557" s="1"/>
      <c r="E557" s="1"/>
      <c r="F557">
        <v>31</v>
      </c>
      <c r="H557">
        <f>PRODUTOS[[#This Row],[Entrada]]-PRODUTOS[[#This Row],[Salidas]]</f>
        <v>31</v>
      </c>
    </row>
    <row r="558" spans="2:8" x14ac:dyDescent="0.25">
      <c r="B558" t="str">
        <f>_xlfn.CONCAT("Prod-",TEXT(ROW(B558),"0000"))</f>
        <v>Prod-0558</v>
      </c>
      <c r="C558" t="s">
        <v>572</v>
      </c>
      <c r="D558" s="1"/>
      <c r="E558" s="1"/>
      <c r="F558">
        <v>37</v>
      </c>
      <c r="H558">
        <f>PRODUTOS[[#This Row],[Entrada]]-PRODUTOS[[#This Row],[Salidas]]</f>
        <v>37</v>
      </c>
    </row>
    <row r="559" spans="2:8" x14ac:dyDescent="0.25">
      <c r="B559" t="str">
        <f>_xlfn.CONCAT("Prod-",TEXT(ROW(B559),"0000"))</f>
        <v>Prod-0559</v>
      </c>
      <c r="C559" t="s">
        <v>314</v>
      </c>
      <c r="D559" s="1"/>
      <c r="E559" s="1"/>
      <c r="F559">
        <v>8</v>
      </c>
      <c r="H559">
        <f>PRODUTOS[[#This Row],[Entrada]]-PRODUTOS[[#This Row],[Salidas]]</f>
        <v>8</v>
      </c>
    </row>
    <row r="560" spans="2:8" x14ac:dyDescent="0.25">
      <c r="B560" t="str">
        <f>_xlfn.CONCAT("Prod-",TEXT(ROW(B560),"0000"))</f>
        <v>Prod-0560</v>
      </c>
      <c r="C560" t="s">
        <v>312</v>
      </c>
      <c r="D560" s="1"/>
      <c r="E560" s="1"/>
      <c r="F560">
        <v>18</v>
      </c>
      <c r="H560">
        <f>PRODUTOS[[#This Row],[Entrada]]-PRODUTOS[[#This Row],[Salidas]]</f>
        <v>18</v>
      </c>
    </row>
    <row r="561" spans="2:8" x14ac:dyDescent="0.25">
      <c r="B561" t="str">
        <f>_xlfn.CONCAT("Prod-",TEXT(ROW(B561),"0000"))</f>
        <v>Prod-0561</v>
      </c>
      <c r="C561" t="s">
        <v>310</v>
      </c>
      <c r="D561" s="1"/>
      <c r="E561" s="1"/>
      <c r="F561">
        <v>10</v>
      </c>
      <c r="H561">
        <f>PRODUTOS[[#This Row],[Entrada]]-PRODUTOS[[#This Row],[Salidas]]</f>
        <v>10</v>
      </c>
    </row>
    <row r="562" spans="2:8" x14ac:dyDescent="0.25">
      <c r="B562" t="str">
        <f>_xlfn.CONCAT("Prod-",TEXT(ROW(B562),"0000"))</f>
        <v>Prod-0562</v>
      </c>
      <c r="C562" t="s">
        <v>315</v>
      </c>
      <c r="D562" s="1"/>
      <c r="E562" s="1"/>
      <c r="F562">
        <v>1</v>
      </c>
      <c r="H562">
        <f>PRODUTOS[[#This Row],[Entrada]]-PRODUTOS[[#This Row],[Salidas]]</f>
        <v>1</v>
      </c>
    </row>
    <row r="563" spans="2:8" x14ac:dyDescent="0.25">
      <c r="B563" t="str">
        <f>_xlfn.CONCAT("Prod-",TEXT(ROW(B563),"0000"))</f>
        <v>Prod-0563</v>
      </c>
      <c r="C563" t="s">
        <v>313</v>
      </c>
      <c r="D563" s="1"/>
      <c r="E563" s="1"/>
      <c r="F563">
        <v>13</v>
      </c>
      <c r="H563">
        <f>PRODUTOS[[#This Row],[Entrada]]-PRODUTOS[[#This Row],[Salidas]]</f>
        <v>13</v>
      </c>
    </row>
    <row r="564" spans="2:8" x14ac:dyDescent="0.25">
      <c r="B564" t="str">
        <f>_xlfn.CONCAT("Prod-",TEXT(ROW(B564),"0000"))</f>
        <v>Prod-0564</v>
      </c>
      <c r="C564" t="s">
        <v>311</v>
      </c>
      <c r="D564" s="1"/>
      <c r="E564" s="1"/>
      <c r="F564">
        <v>5</v>
      </c>
      <c r="H564">
        <f>PRODUTOS[[#This Row],[Entrada]]-PRODUTOS[[#This Row],[Salidas]]</f>
        <v>5</v>
      </c>
    </row>
    <row r="565" spans="2:8" x14ac:dyDescent="0.25">
      <c r="B565" t="str">
        <f>_xlfn.CONCAT("Prod-",TEXT(ROW(B565),"0000"))</f>
        <v>Prod-0565</v>
      </c>
      <c r="C565" t="s">
        <v>423</v>
      </c>
      <c r="D565" s="1"/>
      <c r="E565" s="1"/>
      <c r="F565">
        <v>2</v>
      </c>
      <c r="H565">
        <f>PRODUTOS[[#This Row],[Entrada]]-PRODUTOS[[#This Row],[Salidas]]</f>
        <v>2</v>
      </c>
    </row>
    <row r="566" spans="2:8" x14ac:dyDescent="0.25">
      <c r="B566" t="str">
        <f>_xlfn.CONCAT("Prod-",TEXT(ROW(B566),"0000"))</f>
        <v>Prod-0566</v>
      </c>
      <c r="C566" t="s">
        <v>424</v>
      </c>
      <c r="D566" s="1"/>
      <c r="E566" s="1"/>
      <c r="F566">
        <v>5</v>
      </c>
      <c r="H566">
        <f>PRODUTOS[[#This Row],[Entrada]]-PRODUTOS[[#This Row],[Salidas]]</f>
        <v>5</v>
      </c>
    </row>
    <row r="567" spans="2:8" x14ac:dyDescent="0.25">
      <c r="B567" t="str">
        <f>_xlfn.CONCAT("Prod-",TEXT(ROW(B567),"0000"))</f>
        <v>Prod-0567</v>
      </c>
      <c r="C567" t="s">
        <v>421</v>
      </c>
      <c r="D567" s="1"/>
      <c r="E567" s="1"/>
      <c r="F567">
        <v>7</v>
      </c>
      <c r="H567">
        <f>PRODUTOS[[#This Row],[Entrada]]-PRODUTOS[[#This Row],[Salidas]]</f>
        <v>7</v>
      </c>
    </row>
    <row r="568" spans="2:8" x14ac:dyDescent="0.25">
      <c r="B568" t="str">
        <f>_xlfn.CONCAT("Prod-",TEXT(ROW(B568),"0000"))</f>
        <v>Prod-0568</v>
      </c>
      <c r="C568" t="s">
        <v>422</v>
      </c>
      <c r="D568" s="1"/>
      <c r="E568" s="1"/>
      <c r="F568">
        <v>1</v>
      </c>
      <c r="H568">
        <f>PRODUTOS[[#This Row],[Entrada]]-PRODUTOS[[#This Row],[Salidas]]</f>
        <v>1</v>
      </c>
    </row>
    <row r="569" spans="2:8" x14ac:dyDescent="0.25">
      <c r="B569" t="str">
        <f>_xlfn.CONCAT("Prod-",TEXT(ROW(B569),"0000"))</f>
        <v>Prod-0569</v>
      </c>
      <c r="C569" t="s">
        <v>469</v>
      </c>
      <c r="D569" s="1"/>
      <c r="E569" s="1"/>
      <c r="F569">
        <v>16</v>
      </c>
      <c r="H569">
        <f>PRODUTOS[[#This Row],[Entrada]]-PRODUTOS[[#This Row],[Salidas]]</f>
        <v>16</v>
      </c>
    </row>
    <row r="570" spans="2:8" x14ac:dyDescent="0.25">
      <c r="B570" t="str">
        <f>_xlfn.CONCAT("Prod-",TEXT(ROW(B570),"0000"))</f>
        <v>Prod-0570</v>
      </c>
      <c r="C570" t="s">
        <v>470</v>
      </c>
      <c r="D570" s="1"/>
      <c r="E570" s="1"/>
      <c r="F570">
        <v>4</v>
      </c>
      <c r="H570">
        <f>PRODUTOS[[#This Row],[Entrada]]-PRODUTOS[[#This Row],[Salidas]]</f>
        <v>4</v>
      </c>
    </row>
    <row r="571" spans="2:8" x14ac:dyDescent="0.25">
      <c r="B571" t="str">
        <f>_xlfn.CONCAT("Prod-",TEXT(ROW(B571),"0000"))</f>
        <v>Prod-0571</v>
      </c>
      <c r="C571" t="s">
        <v>482</v>
      </c>
      <c r="D571" s="1"/>
      <c r="E571" s="1"/>
      <c r="F571">
        <v>10</v>
      </c>
      <c r="H571">
        <f>PRODUTOS[[#This Row],[Entrada]]-PRODUTOS[[#This Row],[Salidas]]</f>
        <v>10</v>
      </c>
    </row>
    <row r="572" spans="2:8" x14ac:dyDescent="0.25">
      <c r="B572" t="str">
        <f>_xlfn.CONCAT("Prod-",TEXT(ROW(B572),"0000"))</f>
        <v>Prod-0572</v>
      </c>
      <c r="C572" t="s">
        <v>98</v>
      </c>
      <c r="D572" s="1"/>
      <c r="E572" s="1"/>
      <c r="F572">
        <v>46</v>
      </c>
      <c r="H572">
        <f>PRODUTOS[[#This Row],[Entrada]]-PRODUTOS[[#This Row],[Salidas]]</f>
        <v>46</v>
      </c>
    </row>
    <row r="573" spans="2:8" x14ac:dyDescent="0.25">
      <c r="B573" t="str">
        <f>_xlfn.CONCAT("Prod-",TEXT(ROW(B573),"0000"))</f>
        <v>Prod-0573</v>
      </c>
      <c r="C573" t="s">
        <v>70</v>
      </c>
      <c r="D573" s="1"/>
      <c r="E573" s="1"/>
      <c r="F573">
        <v>34</v>
      </c>
      <c r="H573">
        <f>PRODUTOS[[#This Row],[Entrada]]-PRODUTOS[[#This Row],[Salidas]]</f>
        <v>34</v>
      </c>
    </row>
    <row r="574" spans="2:8" x14ac:dyDescent="0.25">
      <c r="B574" t="str">
        <f>_xlfn.CONCAT("Prod-",TEXT(ROW(B574),"0000"))</f>
        <v>Prod-0574</v>
      </c>
      <c r="C574" t="s">
        <v>110</v>
      </c>
      <c r="D574" s="1"/>
      <c r="E574" s="1"/>
      <c r="F574">
        <v>23</v>
      </c>
      <c r="G574">
        <v>0</v>
      </c>
      <c r="H574">
        <f>PRODUTOS[[#This Row],[Entrada]]-PRODUTOS[[#This Row],[Salidas]]</f>
        <v>23</v>
      </c>
    </row>
    <row r="575" spans="2:8" x14ac:dyDescent="0.25">
      <c r="B575" t="str">
        <f>_xlfn.CONCAT("Prod-",TEXT(ROW(B575),"0000"))</f>
        <v>Prod-0575</v>
      </c>
      <c r="C575" t="s">
        <v>72</v>
      </c>
      <c r="D575" s="1"/>
      <c r="E575" s="1"/>
      <c r="F575">
        <v>24</v>
      </c>
      <c r="H575">
        <f>PRODUTOS[[#This Row],[Entrada]]-PRODUTOS[[#This Row],[Salidas]]</f>
        <v>24</v>
      </c>
    </row>
    <row r="576" spans="2:8" x14ac:dyDescent="0.25">
      <c r="B576" t="str">
        <f>_xlfn.CONCAT("Prod-",TEXT(ROW(B576),"0000"))</f>
        <v>Prod-0576</v>
      </c>
      <c r="C576" t="s">
        <v>74</v>
      </c>
      <c r="D576" s="1"/>
      <c r="E576" s="1"/>
      <c r="F576">
        <v>8</v>
      </c>
      <c r="H576">
        <f>PRODUTOS[[#This Row],[Entrada]]-PRODUTOS[[#This Row],[Salidas]]</f>
        <v>8</v>
      </c>
    </row>
    <row r="577" spans="2:8" x14ac:dyDescent="0.25">
      <c r="B577" t="str">
        <f>_xlfn.CONCAT("Prod-",TEXT(ROW(B577),"0000"))</f>
        <v>Prod-0577</v>
      </c>
      <c r="C577" t="s">
        <v>71</v>
      </c>
      <c r="D577" s="1"/>
      <c r="E577" s="1"/>
      <c r="F577">
        <v>17</v>
      </c>
      <c r="H577">
        <f>PRODUTOS[[#This Row],[Entrada]]-PRODUTOS[[#This Row],[Salidas]]</f>
        <v>17</v>
      </c>
    </row>
    <row r="578" spans="2:8" x14ac:dyDescent="0.25">
      <c r="B578" t="str">
        <f>_xlfn.CONCAT("Prod-",TEXT(ROW(B578),"0000"))</f>
        <v>Prod-0578</v>
      </c>
      <c r="C578" t="s">
        <v>442</v>
      </c>
      <c r="D578" s="1"/>
      <c r="E578" s="1"/>
      <c r="F578">
        <v>1</v>
      </c>
      <c r="H578">
        <f>PRODUTOS[[#This Row],[Entrada]]-PRODUTOS[[#This Row],[Salidas]]</f>
        <v>1</v>
      </c>
    </row>
    <row r="579" spans="2:8" x14ac:dyDescent="0.25">
      <c r="B579" t="str">
        <f>_xlfn.CONCAT("Prod-",TEXT(ROW(B579),"0000"))</f>
        <v>Prod-0579</v>
      </c>
      <c r="C579" t="s">
        <v>647</v>
      </c>
      <c r="D579" s="1"/>
      <c r="E579" s="1"/>
      <c r="F579">
        <v>5</v>
      </c>
      <c r="H579">
        <f>PRODUTOS[[#This Row],[Entrada]]-PRODUTOS[[#This Row],[Salidas]]</f>
        <v>5</v>
      </c>
    </row>
    <row r="580" spans="2:8" x14ac:dyDescent="0.25">
      <c r="B580" t="str">
        <f>_xlfn.CONCAT("Prod-",TEXT(ROW(B580),"0000"))</f>
        <v>Prod-0580</v>
      </c>
      <c r="C580" t="s">
        <v>267</v>
      </c>
      <c r="D580" s="1"/>
      <c r="E580" s="1"/>
      <c r="F580">
        <v>7</v>
      </c>
      <c r="H580">
        <f>PRODUTOS[[#This Row],[Entrada]]-PRODUTOS[[#This Row],[Salidas]]</f>
        <v>7</v>
      </c>
    </row>
    <row r="581" spans="2:8" x14ac:dyDescent="0.25">
      <c r="B581" t="str">
        <f>_xlfn.CONCAT("Prod-",TEXT(ROW(B581),"0000"))</f>
        <v>Prod-0581</v>
      </c>
      <c r="C581" t="s">
        <v>268</v>
      </c>
      <c r="D581" s="1"/>
      <c r="E581" s="1"/>
      <c r="F581">
        <v>1</v>
      </c>
      <c r="H581">
        <f>PRODUTOS[[#This Row],[Entrada]]-PRODUTOS[[#This Row],[Salidas]]</f>
        <v>1</v>
      </c>
    </row>
    <row r="582" spans="2:8" x14ac:dyDescent="0.25">
      <c r="B582" t="str">
        <f>_xlfn.CONCAT("Prod-",TEXT(ROW(B582),"0000"))</f>
        <v>Prod-0582</v>
      </c>
      <c r="C582" t="s">
        <v>105</v>
      </c>
      <c r="D582" s="1"/>
      <c r="E582" s="1"/>
      <c r="F582">
        <v>4</v>
      </c>
      <c r="H582">
        <f>PRODUTOS[[#This Row],[Entrada]]-PRODUTOS[[#This Row],[Salidas]]</f>
        <v>4</v>
      </c>
    </row>
    <row r="583" spans="2:8" x14ac:dyDescent="0.25">
      <c r="B583" t="str">
        <f>_xlfn.CONCAT("Prod-",TEXT(ROW(B583),"0000"))</f>
        <v>Prod-0583</v>
      </c>
      <c r="C583" t="s">
        <v>108</v>
      </c>
      <c r="D583" s="1"/>
      <c r="E583" s="1"/>
      <c r="F583">
        <v>5</v>
      </c>
      <c r="H583">
        <f>PRODUTOS[[#This Row],[Entrada]]-PRODUTOS[[#This Row],[Salidas]]</f>
        <v>5</v>
      </c>
    </row>
    <row r="584" spans="2:8" x14ac:dyDescent="0.25">
      <c r="B584" t="str">
        <f>_xlfn.CONCAT("Prod-",TEXT(ROW(B584),"0000"))</f>
        <v>Prod-0584</v>
      </c>
      <c r="C584" t="s">
        <v>27</v>
      </c>
      <c r="D584" s="1">
        <v>0.41855999999999999</v>
      </c>
      <c r="E584" s="1">
        <v>0.6</v>
      </c>
      <c r="F584">
        <f>14+40</f>
        <v>54</v>
      </c>
      <c r="G584">
        <v>0</v>
      </c>
      <c r="H584">
        <f>PRODUTOS[[#This Row],[Entrada]]-PRODUTOS[[#This Row],[Salidas]]</f>
        <v>54</v>
      </c>
    </row>
    <row r="585" spans="2:8" x14ac:dyDescent="0.25">
      <c r="B585" t="str">
        <f>_xlfn.CONCAT("Prod-",TEXT(ROW(B585),"0000"))</f>
        <v>Prod-0585</v>
      </c>
      <c r="C585" t="s">
        <v>51</v>
      </c>
      <c r="D585" s="1"/>
      <c r="E585" s="1"/>
      <c r="F585">
        <v>15</v>
      </c>
      <c r="H585">
        <f>PRODUTOS[[#This Row],[Entrada]]-PRODUTOS[[#This Row],[Salidas]]</f>
        <v>15</v>
      </c>
    </row>
    <row r="586" spans="2:8" x14ac:dyDescent="0.25">
      <c r="B586" t="str">
        <f>_xlfn.CONCAT("Prod-",TEXT(ROW(B586),"0000"))</f>
        <v>Prod-0586</v>
      </c>
      <c r="C586" t="s">
        <v>329</v>
      </c>
      <c r="D586" s="1"/>
      <c r="E586" s="1"/>
      <c r="F586">
        <v>1</v>
      </c>
      <c r="H586">
        <f>PRODUTOS[[#This Row],[Entrada]]-PRODUTOS[[#This Row],[Salidas]]</f>
        <v>1</v>
      </c>
    </row>
    <row r="587" spans="2:8" x14ac:dyDescent="0.25">
      <c r="B587" t="str">
        <f>_xlfn.CONCAT("Prod-",TEXT(ROW(B587),"0000"))</f>
        <v>Prod-0587</v>
      </c>
      <c r="C587" t="s">
        <v>123</v>
      </c>
      <c r="D587" s="1"/>
      <c r="E587" s="1"/>
      <c r="F587">
        <v>18</v>
      </c>
      <c r="H587">
        <f>PRODUTOS[[#This Row],[Entrada]]-PRODUTOS[[#This Row],[Salidas]]</f>
        <v>18</v>
      </c>
    </row>
    <row r="588" spans="2:8" x14ac:dyDescent="0.25">
      <c r="B588" t="str">
        <f>_xlfn.CONCAT("Prod-",TEXT(ROW(B588),"0000"))</f>
        <v>Prod-0588</v>
      </c>
      <c r="C588" t="s">
        <v>124</v>
      </c>
      <c r="D588" s="1"/>
      <c r="E588" s="1"/>
      <c r="F588">
        <v>5</v>
      </c>
      <c r="H588">
        <f>PRODUTOS[[#This Row],[Entrada]]-PRODUTOS[[#This Row],[Salidas]]</f>
        <v>5</v>
      </c>
    </row>
    <row r="589" spans="2:8" x14ac:dyDescent="0.25">
      <c r="B589" t="str">
        <f>_xlfn.CONCAT("Prod-",TEXT(ROW(B589),"0000"))</f>
        <v>Prod-0589</v>
      </c>
      <c r="C589" t="s">
        <v>305</v>
      </c>
      <c r="D589" s="1"/>
      <c r="E589" s="1"/>
      <c r="F589">
        <v>12</v>
      </c>
      <c r="H589">
        <f>PRODUTOS[[#This Row],[Entrada]]-PRODUTOS[[#This Row],[Salidas]]</f>
        <v>12</v>
      </c>
    </row>
    <row r="590" spans="2:8" x14ac:dyDescent="0.25">
      <c r="B590" t="str">
        <f>_xlfn.CONCAT("Prod-",TEXT(ROW(B590),"0000"))</f>
        <v>Prod-0590</v>
      </c>
      <c r="C590" t="s">
        <v>288</v>
      </c>
      <c r="D590" s="1"/>
      <c r="E590" s="1"/>
      <c r="F590">
        <v>19</v>
      </c>
      <c r="H590">
        <f>PRODUTOS[[#This Row],[Entrada]]-PRODUTOS[[#This Row],[Salidas]]</f>
        <v>19</v>
      </c>
    </row>
    <row r="591" spans="2:8" x14ac:dyDescent="0.25">
      <c r="B591" t="str">
        <f>_xlfn.CONCAT("Prod-",TEXT(ROW(B591),"0000"))</f>
        <v>Prod-0591</v>
      </c>
      <c r="C591" t="s">
        <v>296</v>
      </c>
      <c r="D591" s="1"/>
      <c r="E591" s="1"/>
      <c r="F591">
        <v>10</v>
      </c>
      <c r="H591">
        <f>PRODUTOS[[#This Row],[Entrada]]-PRODUTOS[[#This Row],[Salidas]]</f>
        <v>10</v>
      </c>
    </row>
    <row r="592" spans="2:8" x14ac:dyDescent="0.25">
      <c r="B592" t="str">
        <f>_xlfn.CONCAT("Prod-",TEXT(ROW(B592),"0000"))</f>
        <v>Prod-0592</v>
      </c>
      <c r="C592" t="s">
        <v>296</v>
      </c>
      <c r="D592" s="1"/>
      <c r="E592" s="1"/>
      <c r="F592">
        <v>7</v>
      </c>
      <c r="H592">
        <f>PRODUTOS[[#This Row],[Entrada]]-PRODUTOS[[#This Row],[Salidas]]</f>
        <v>7</v>
      </c>
    </row>
    <row r="593" spans="2:8" x14ac:dyDescent="0.25">
      <c r="B593" t="str">
        <f>_xlfn.CONCAT("Prod-",TEXT(ROW(B593),"0000"))</f>
        <v>Prod-0593</v>
      </c>
      <c r="C593" t="s">
        <v>293</v>
      </c>
      <c r="D593" s="1"/>
      <c r="E593" s="1"/>
      <c r="F593">
        <v>5</v>
      </c>
      <c r="H593">
        <f>PRODUTOS[[#This Row],[Entrada]]-PRODUTOS[[#This Row],[Salidas]]</f>
        <v>5</v>
      </c>
    </row>
    <row r="594" spans="2:8" x14ac:dyDescent="0.25">
      <c r="B594" t="str">
        <f>_xlfn.CONCAT("Prod-",TEXT(ROW(B594),"0000"))</f>
        <v>Prod-0594</v>
      </c>
      <c r="C594" t="s">
        <v>307</v>
      </c>
      <c r="D594" s="1"/>
      <c r="E594" s="1"/>
      <c r="F594">
        <v>9</v>
      </c>
      <c r="H594">
        <f>PRODUTOS[[#This Row],[Entrada]]-PRODUTOS[[#This Row],[Salidas]]</f>
        <v>9</v>
      </c>
    </row>
    <row r="595" spans="2:8" x14ac:dyDescent="0.25">
      <c r="B595" t="str">
        <f>_xlfn.CONCAT("Prod-",TEXT(ROW(B595),"0000"))</f>
        <v>Prod-0595</v>
      </c>
      <c r="C595" t="s">
        <v>306</v>
      </c>
      <c r="D595" s="1"/>
      <c r="E595" s="1"/>
      <c r="F595">
        <v>1</v>
      </c>
      <c r="H595">
        <f>PRODUTOS[[#This Row],[Entrada]]-PRODUTOS[[#This Row],[Salidas]]</f>
        <v>1</v>
      </c>
    </row>
    <row r="596" spans="2:8" x14ac:dyDescent="0.25">
      <c r="B596" t="str">
        <f>_xlfn.CONCAT("Prod-",TEXT(ROW(B596),"0000"))</f>
        <v>Prod-0596</v>
      </c>
      <c r="C596" t="s">
        <v>301</v>
      </c>
      <c r="D596" s="1"/>
      <c r="E596" s="1"/>
      <c r="F596">
        <v>7</v>
      </c>
      <c r="H596">
        <f>PRODUTOS[[#This Row],[Entrada]]-PRODUTOS[[#This Row],[Salidas]]</f>
        <v>7</v>
      </c>
    </row>
    <row r="597" spans="2:8" x14ac:dyDescent="0.25">
      <c r="B597" t="str">
        <f>_xlfn.CONCAT("Prod-",TEXT(ROW(B597),"0000"))</f>
        <v>Prod-0597</v>
      </c>
      <c r="C597" t="s">
        <v>269</v>
      </c>
      <c r="D597" s="1"/>
      <c r="E597" s="1"/>
      <c r="F597">
        <v>69</v>
      </c>
      <c r="H597">
        <f>PRODUTOS[[#This Row],[Entrada]]-PRODUTOS[[#This Row],[Salidas]]</f>
        <v>69</v>
      </c>
    </row>
    <row r="598" spans="2:8" x14ac:dyDescent="0.25">
      <c r="B598" t="str">
        <f>_xlfn.CONCAT("Prod-",TEXT(ROW(B598),"0000"))</f>
        <v>Prod-0598</v>
      </c>
      <c r="C598" t="s">
        <v>271</v>
      </c>
      <c r="D598" s="1"/>
      <c r="E598" s="1"/>
      <c r="F598">
        <v>36</v>
      </c>
      <c r="H598">
        <f>PRODUTOS[[#This Row],[Entrada]]-PRODUTOS[[#This Row],[Salidas]]</f>
        <v>36</v>
      </c>
    </row>
    <row r="599" spans="2:8" x14ac:dyDescent="0.25">
      <c r="B599" t="str">
        <f>_xlfn.CONCAT("Prod-",TEXT(ROW(B599),"0000"))</f>
        <v>Prod-0599</v>
      </c>
      <c r="C599" t="s">
        <v>270</v>
      </c>
      <c r="D599" s="1"/>
      <c r="E599" s="1"/>
      <c r="F599">
        <v>49</v>
      </c>
      <c r="H599">
        <f>PRODUTOS[[#This Row],[Entrada]]-PRODUTOS[[#This Row],[Salidas]]</f>
        <v>49</v>
      </c>
    </row>
    <row r="600" spans="2:8" x14ac:dyDescent="0.25">
      <c r="B600" t="str">
        <f>_xlfn.CONCAT("Prod-",TEXT(ROW(B600),"0000"))</f>
        <v>Prod-0600</v>
      </c>
      <c r="C600" t="s">
        <v>542</v>
      </c>
      <c r="D600" s="1"/>
      <c r="E600" s="1"/>
      <c r="F600">
        <v>2</v>
      </c>
      <c r="H600">
        <f>PRODUTOS[[#This Row],[Entrada]]-PRODUTOS[[#This Row],[Salidas]]</f>
        <v>2</v>
      </c>
    </row>
    <row r="601" spans="2:8" x14ac:dyDescent="0.25">
      <c r="B601" t="str">
        <f>_xlfn.CONCAT("Prod-",TEXT(ROW(B601),"0000"))</f>
        <v>Prod-0601</v>
      </c>
      <c r="C601" t="s">
        <v>266</v>
      </c>
      <c r="D601" s="1"/>
      <c r="E601" s="1"/>
      <c r="F601">
        <v>4</v>
      </c>
      <c r="H601">
        <f>PRODUTOS[[#This Row],[Entrada]]-PRODUTOS[[#This Row],[Salidas]]</f>
        <v>4</v>
      </c>
    </row>
    <row r="602" spans="2:8" x14ac:dyDescent="0.25">
      <c r="B602" t="str">
        <f>_xlfn.CONCAT("Prod-",TEXT(ROW(B602),"0000"))</f>
        <v>Prod-0602</v>
      </c>
      <c r="C602" t="s">
        <v>263</v>
      </c>
      <c r="D602" s="1"/>
      <c r="E602" s="1"/>
      <c r="F602">
        <v>11</v>
      </c>
      <c r="H602">
        <f>PRODUTOS[[#This Row],[Entrada]]-PRODUTOS[[#This Row],[Salidas]]</f>
        <v>11</v>
      </c>
    </row>
    <row r="603" spans="2:8" x14ac:dyDescent="0.25">
      <c r="B603" t="str">
        <f>_xlfn.CONCAT("Prod-",TEXT(ROW(B603),"0000"))</f>
        <v>Prod-0603</v>
      </c>
      <c r="C603" t="s">
        <v>566</v>
      </c>
      <c r="D603" s="1"/>
      <c r="E603" s="1"/>
      <c r="F603">
        <v>4</v>
      </c>
      <c r="H603">
        <f>PRODUTOS[[#This Row],[Entrada]]-PRODUTOS[[#This Row],[Salidas]]</f>
        <v>4</v>
      </c>
    </row>
    <row r="604" spans="2:8" x14ac:dyDescent="0.25">
      <c r="B604" t="str">
        <f>_xlfn.CONCAT("Prod-",TEXT(ROW(B604),"0000"))</f>
        <v>Prod-0604</v>
      </c>
      <c r="C604" t="s">
        <v>672</v>
      </c>
      <c r="D604" s="1"/>
      <c r="E604" s="1"/>
      <c r="F604">
        <v>66</v>
      </c>
      <c r="H604">
        <f>PRODUTOS[[#This Row],[Entrada]]-PRODUTOS[[#This Row],[Salidas]]</f>
        <v>66</v>
      </c>
    </row>
    <row r="605" spans="2:8" x14ac:dyDescent="0.25">
      <c r="B605" t="str">
        <f>_xlfn.CONCAT("Prod-",TEXT(ROW(B605),"0000"))</f>
        <v>Prod-0605</v>
      </c>
      <c r="C605" t="s">
        <v>612</v>
      </c>
      <c r="D605" s="1"/>
      <c r="E605" s="1"/>
      <c r="F605">
        <v>5</v>
      </c>
      <c r="H605">
        <f>PRODUTOS[[#This Row],[Entrada]]-PRODUTOS[[#This Row],[Salidas]]</f>
        <v>5</v>
      </c>
    </row>
    <row r="606" spans="2:8" x14ac:dyDescent="0.25">
      <c r="B606" t="str">
        <f>_xlfn.CONCAT("Prod-",TEXT(ROW(B606),"0000"))</f>
        <v>Prod-0606</v>
      </c>
      <c r="C606" t="s">
        <v>613</v>
      </c>
      <c r="D606" s="1"/>
      <c r="E606" s="1"/>
      <c r="F606">
        <v>2</v>
      </c>
      <c r="H606">
        <f>PRODUTOS[[#This Row],[Entrada]]-PRODUTOS[[#This Row],[Salidas]]</f>
        <v>2</v>
      </c>
    </row>
    <row r="607" spans="2:8" x14ac:dyDescent="0.25">
      <c r="B607" t="str">
        <f>_xlfn.CONCAT("Prod-",TEXT(ROW(B607),"0000"))</f>
        <v>Prod-0607</v>
      </c>
      <c r="C607" t="s">
        <v>468</v>
      </c>
      <c r="D607" s="1"/>
      <c r="E607" s="1"/>
      <c r="F607">
        <v>11</v>
      </c>
      <c r="H607">
        <f>PRODUTOS[[#This Row],[Entrada]]-PRODUTOS[[#This Row],[Salidas]]</f>
        <v>11</v>
      </c>
    </row>
    <row r="608" spans="2:8" x14ac:dyDescent="0.25">
      <c r="B608" t="str">
        <f>_xlfn.CONCAT("Prod-",TEXT(ROW(B608),"0000"))</f>
        <v>Prod-0608</v>
      </c>
      <c r="C608" t="s">
        <v>485</v>
      </c>
      <c r="D608" s="1"/>
      <c r="E608" s="1"/>
      <c r="F608">
        <v>1</v>
      </c>
      <c r="H608">
        <f>PRODUTOS[[#This Row],[Entrada]]-PRODUTOS[[#This Row],[Salidas]]</f>
        <v>1</v>
      </c>
    </row>
    <row r="609" spans="2:8" x14ac:dyDescent="0.25">
      <c r="B609" t="str">
        <f>_xlfn.CONCAT("Prod-",TEXT(ROW(B609),"0000"))</f>
        <v>Prod-0609</v>
      </c>
      <c r="C609" t="s">
        <v>664</v>
      </c>
      <c r="D609" s="1"/>
      <c r="E609" s="1"/>
      <c r="H609">
        <f>PRODUTOS[[#This Row],[Entrada]]-PRODUTOS[[#This Row],[Salidas]]</f>
        <v>0</v>
      </c>
    </row>
    <row r="610" spans="2:8" x14ac:dyDescent="0.25">
      <c r="B610" t="str">
        <f>_xlfn.CONCAT("Prod-",TEXT(ROW(B610),"0000"))</f>
        <v>Prod-0610</v>
      </c>
      <c r="C610" t="s">
        <v>663</v>
      </c>
      <c r="D610" s="1">
        <v>6.6286800000000001</v>
      </c>
      <c r="E610" s="1">
        <v>8.5</v>
      </c>
      <c r="F610">
        <v>12</v>
      </c>
      <c r="H610">
        <f>PRODUTOS[[#This Row],[Entrada]]-PRODUTOS[[#This Row],[Salidas]]</f>
        <v>12</v>
      </c>
    </row>
    <row r="611" spans="2:8" x14ac:dyDescent="0.25">
      <c r="B611" t="str">
        <f>_xlfn.CONCAT("Prod-",TEXT(ROW(B611),"0000"))</f>
        <v>Prod-0611</v>
      </c>
      <c r="C611" t="s">
        <v>125</v>
      </c>
      <c r="D611" s="1"/>
      <c r="E611" s="1"/>
      <c r="F611">
        <v>6</v>
      </c>
      <c r="H611">
        <f>PRODUTOS[[#This Row],[Entrada]]-PRODUTOS[[#This Row],[Salidas]]</f>
        <v>6</v>
      </c>
    </row>
    <row r="612" spans="2:8" x14ac:dyDescent="0.25">
      <c r="B612" t="str">
        <f>_xlfn.CONCAT("Prod-",TEXT(ROW(B612),"0000"))</f>
        <v>Prod-0612</v>
      </c>
      <c r="C612" t="s">
        <v>497</v>
      </c>
      <c r="D612" s="1">
        <v>2.89392</v>
      </c>
      <c r="E612" s="1">
        <v>4</v>
      </c>
      <c r="F612">
        <v>10</v>
      </c>
      <c r="H612">
        <f>PRODUTOS[[#This Row],[Entrada]]-PRODUTOS[[#This Row],[Salidas]]</f>
        <v>10</v>
      </c>
    </row>
    <row r="613" spans="2:8" x14ac:dyDescent="0.25">
      <c r="B613" t="str">
        <f>_xlfn.CONCAT("Prod-",TEXT(ROW(B613),"0000"))</f>
        <v>Prod-0613</v>
      </c>
      <c r="C613" t="s">
        <v>501</v>
      </c>
      <c r="D613" s="1"/>
      <c r="E613" s="1"/>
      <c r="F613">
        <v>0</v>
      </c>
      <c r="H613">
        <f>PRODUTOS[[#This Row],[Entrada]]-PRODUTOS[[#This Row],[Salidas]]</f>
        <v>0</v>
      </c>
    </row>
    <row r="614" spans="2:8" x14ac:dyDescent="0.25">
      <c r="B614" t="str">
        <f>_xlfn.CONCAT("Prod-",TEXT(ROW(B614),"0000"))</f>
        <v>Prod-0614</v>
      </c>
      <c r="C614" t="s">
        <v>496</v>
      </c>
      <c r="D614" s="1"/>
      <c r="E614" s="1"/>
      <c r="F614">
        <v>7</v>
      </c>
      <c r="H614">
        <f>PRODUTOS[[#This Row],[Entrada]]-PRODUTOS[[#This Row],[Salidas]]</f>
        <v>7</v>
      </c>
    </row>
    <row r="615" spans="2:8" x14ac:dyDescent="0.25">
      <c r="B615" t="str">
        <f>_xlfn.CONCAT("Prod-",TEXT(ROW(B615),"0000"))</f>
        <v>Prod-0615</v>
      </c>
      <c r="C615" t="s">
        <v>500</v>
      </c>
      <c r="D615" s="1"/>
      <c r="E615" s="1"/>
      <c r="F615">
        <v>0</v>
      </c>
      <c r="H615">
        <f>PRODUTOS[[#This Row],[Entrada]]-PRODUTOS[[#This Row],[Salidas]]</f>
        <v>0</v>
      </c>
    </row>
    <row r="616" spans="2:8" x14ac:dyDescent="0.25">
      <c r="B616" t="str">
        <f>_xlfn.CONCAT("Prod-",TEXT(ROW(B616),"0000"))</f>
        <v>Prod-0616</v>
      </c>
      <c r="C616" t="s">
        <v>495</v>
      </c>
      <c r="D616" s="1">
        <v>8.8167600000000004</v>
      </c>
      <c r="E616" s="1">
        <v>10.75</v>
      </c>
      <c r="F616">
        <v>12</v>
      </c>
      <c r="H616">
        <f>PRODUTOS[[#This Row],[Entrada]]-PRODUTOS[[#This Row],[Salidas]]</f>
        <v>12</v>
      </c>
    </row>
    <row r="617" spans="2:8" x14ac:dyDescent="0.25">
      <c r="B617" t="str">
        <f>_xlfn.CONCAT("Prod-",TEXT(ROW(B617),"0000"))</f>
        <v>Prod-0617</v>
      </c>
      <c r="C617" t="s">
        <v>499</v>
      </c>
      <c r="D617" s="1"/>
      <c r="E617" s="1"/>
      <c r="F617">
        <v>0</v>
      </c>
      <c r="H617">
        <f>PRODUTOS[[#This Row],[Entrada]]-PRODUTOS[[#This Row],[Salidas]]</f>
        <v>0</v>
      </c>
    </row>
    <row r="618" spans="2:8" x14ac:dyDescent="0.25">
      <c r="B618" t="str">
        <f>_xlfn.CONCAT("Prod-",TEXT(ROW(B618),"0000"))</f>
        <v>Prod-0618</v>
      </c>
      <c r="C618" t="s">
        <v>494</v>
      </c>
      <c r="D618" s="1"/>
      <c r="E618" s="1"/>
      <c r="F618">
        <v>3</v>
      </c>
      <c r="H618">
        <f>PRODUTOS[[#This Row],[Entrada]]-PRODUTOS[[#This Row],[Salidas]]</f>
        <v>3</v>
      </c>
    </row>
    <row r="619" spans="2:8" x14ac:dyDescent="0.25">
      <c r="B619" t="str">
        <f>_xlfn.CONCAT("Prod-",TEXT(ROW(B619),"0000"))</f>
        <v>Prod-0619</v>
      </c>
      <c r="C619" t="s">
        <v>498</v>
      </c>
      <c r="D619" s="1"/>
      <c r="E619" s="1"/>
      <c r="F619">
        <v>0</v>
      </c>
      <c r="H619">
        <f>PRODUTOS[[#This Row],[Entrada]]-PRODUTOS[[#This Row],[Salidas]]</f>
        <v>0</v>
      </c>
    </row>
    <row r="620" spans="2:8" x14ac:dyDescent="0.25">
      <c r="B620" t="str">
        <f>_xlfn.CONCAT("Prod-",TEXT(ROW(B620),"0000"))</f>
        <v>Prod-0620</v>
      </c>
      <c r="C620" t="s">
        <v>77</v>
      </c>
      <c r="D620" s="1"/>
      <c r="E620" s="1"/>
      <c r="F620">
        <v>11</v>
      </c>
      <c r="H620">
        <f>PRODUTOS[[#This Row],[Entrada]]-PRODUTOS[[#This Row],[Salidas]]</f>
        <v>11</v>
      </c>
    </row>
    <row r="621" spans="2:8" x14ac:dyDescent="0.25">
      <c r="B621" t="str">
        <f>_xlfn.CONCAT("Prod-",TEXT(ROW(B621),"0000"))</f>
        <v>Prod-0621</v>
      </c>
      <c r="C621" t="s">
        <v>90</v>
      </c>
      <c r="D621" s="1"/>
      <c r="E621" s="1"/>
      <c r="F621">
        <v>12</v>
      </c>
      <c r="H621">
        <f>PRODUTOS[[#This Row],[Entrada]]-PRODUTOS[[#This Row],[Salidas]]</f>
        <v>12</v>
      </c>
    </row>
    <row r="622" spans="2:8" x14ac:dyDescent="0.25">
      <c r="B622" t="str">
        <f>_xlfn.CONCAT("Prod-",TEXT(ROW(B622),"0000"))</f>
        <v>Prod-0622</v>
      </c>
      <c r="C622" t="s">
        <v>96</v>
      </c>
      <c r="D622" s="1"/>
      <c r="E622" s="1"/>
      <c r="F622">
        <v>45</v>
      </c>
      <c r="H622">
        <f>PRODUTOS[[#This Row],[Entrada]]-PRODUTOS[[#This Row],[Salidas]]</f>
        <v>45</v>
      </c>
    </row>
    <row r="623" spans="2:8" x14ac:dyDescent="0.25">
      <c r="B623" t="str">
        <f>_xlfn.CONCAT("Prod-",TEXT(ROW(B623),"0000"))</f>
        <v>Prod-0623</v>
      </c>
      <c r="C623" t="s">
        <v>111</v>
      </c>
      <c r="D623" s="1"/>
      <c r="E623" s="1"/>
      <c r="F623">
        <v>23</v>
      </c>
      <c r="H623">
        <f>PRODUTOS[[#This Row],[Entrada]]-PRODUTOS[[#This Row],[Salidas]]</f>
        <v>23</v>
      </c>
    </row>
    <row r="624" spans="2:8" x14ac:dyDescent="0.25">
      <c r="B624" t="str">
        <f>_xlfn.CONCAT("Prod-",TEXT(ROW(B624),"0000"))</f>
        <v>Prod-0624</v>
      </c>
      <c r="C624" t="s">
        <v>112</v>
      </c>
      <c r="D624" s="1"/>
      <c r="E624" s="1"/>
      <c r="F624">
        <v>18</v>
      </c>
      <c r="H624">
        <f>PRODUTOS[[#This Row],[Entrada]]-PRODUTOS[[#This Row],[Salidas]]</f>
        <v>18</v>
      </c>
    </row>
    <row r="625" spans="2:8" x14ac:dyDescent="0.25">
      <c r="B625" t="str">
        <f>_xlfn.CONCAT("Prod-",TEXT(ROW(B625),"0000"))</f>
        <v>Prod-0625</v>
      </c>
      <c r="C625" t="s">
        <v>113</v>
      </c>
      <c r="D625" s="1"/>
      <c r="E625" s="1"/>
      <c r="F625">
        <v>39</v>
      </c>
      <c r="H625">
        <f>PRODUTOS[[#This Row],[Entrada]]-PRODUTOS[[#This Row],[Salidas]]</f>
        <v>39</v>
      </c>
    </row>
    <row r="626" spans="2:8" x14ac:dyDescent="0.25">
      <c r="B626" t="str">
        <f>_xlfn.CONCAT("Prod-",TEXT(ROW(B626),"0000"))</f>
        <v>Prod-0626</v>
      </c>
      <c r="C626" t="s">
        <v>26</v>
      </c>
      <c r="D626" s="1">
        <v>0</v>
      </c>
      <c r="E626" s="1">
        <v>0</v>
      </c>
      <c r="F626">
        <v>74</v>
      </c>
      <c r="G626">
        <v>0</v>
      </c>
      <c r="H626">
        <f>PRODUTOS[[#This Row],[Entrada]]-PRODUTOS[[#This Row],[Salidas]]</f>
        <v>74</v>
      </c>
    </row>
    <row r="627" spans="2:8" x14ac:dyDescent="0.25">
      <c r="B627" t="str">
        <f>_xlfn.CONCAT("Prod-",TEXT(ROW(B627),"0000"))</f>
        <v>Prod-0627</v>
      </c>
      <c r="C627" t="s">
        <v>103</v>
      </c>
      <c r="D627" s="1"/>
      <c r="E627" s="1"/>
      <c r="F627">
        <v>24</v>
      </c>
      <c r="H627">
        <f>PRODUTOS[[#This Row],[Entrada]]-PRODUTOS[[#This Row],[Salidas]]</f>
        <v>24</v>
      </c>
    </row>
    <row r="628" spans="2:8" x14ac:dyDescent="0.25">
      <c r="B628" t="str">
        <f>_xlfn.CONCAT("Prod-",TEXT(ROW(B628),"0000"))</f>
        <v>Prod-0628</v>
      </c>
      <c r="C628" t="s">
        <v>56</v>
      </c>
      <c r="D628" s="1"/>
      <c r="E628" s="1"/>
      <c r="F628">
        <v>37</v>
      </c>
      <c r="H628">
        <f>PRODUTOS[[#This Row],[Entrada]]-PRODUTOS[[#This Row],[Salidas]]</f>
        <v>37</v>
      </c>
    </row>
    <row r="629" spans="2:8" x14ac:dyDescent="0.25">
      <c r="B629" t="str">
        <f>_xlfn.CONCAT("Prod-",TEXT(ROW(B629),"0000"))</f>
        <v>Prod-0629</v>
      </c>
      <c r="C629" t="s">
        <v>93</v>
      </c>
      <c r="D629" s="1"/>
      <c r="E629" s="1"/>
      <c r="F629">
        <v>22</v>
      </c>
      <c r="H629">
        <f>PRODUTOS[[#This Row],[Entrada]]-PRODUTOS[[#This Row],[Salidas]]</f>
        <v>22</v>
      </c>
    </row>
    <row r="630" spans="2:8" x14ac:dyDescent="0.25">
      <c r="B630" t="str">
        <f>_xlfn.CONCAT("Prod-",TEXT(ROW(B630),"0000"))</f>
        <v>Prod-0630</v>
      </c>
      <c r="C630" t="s">
        <v>116</v>
      </c>
      <c r="D630" s="1"/>
      <c r="E630" s="1"/>
      <c r="F630">
        <v>48</v>
      </c>
      <c r="H630">
        <f>PRODUTOS[[#This Row],[Entrada]]-PRODUTOS[[#This Row],[Salidas]]</f>
        <v>48</v>
      </c>
    </row>
    <row r="631" spans="2:8" x14ac:dyDescent="0.25">
      <c r="B631" t="str">
        <f>_xlfn.CONCAT("Prod-",TEXT(ROW(B631),"0000"))</f>
        <v>Prod-0631</v>
      </c>
      <c r="C631" t="s">
        <v>119</v>
      </c>
      <c r="D631" s="1"/>
      <c r="E631" s="1"/>
      <c r="F631">
        <v>25</v>
      </c>
      <c r="H631">
        <f>PRODUTOS[[#This Row],[Entrada]]-PRODUTOS[[#This Row],[Salidas]]</f>
        <v>25</v>
      </c>
    </row>
    <row r="632" spans="2:8" x14ac:dyDescent="0.25">
      <c r="B632" t="str">
        <f>_xlfn.CONCAT("Prod-",TEXT(ROW(B632),"0000"))</f>
        <v>Prod-0632</v>
      </c>
      <c r="C632" t="s">
        <v>115</v>
      </c>
      <c r="D632" s="1"/>
      <c r="E632" s="1"/>
      <c r="F632">
        <v>40</v>
      </c>
      <c r="H632">
        <f>PRODUTOS[[#This Row],[Entrada]]-PRODUTOS[[#This Row],[Salidas]]</f>
        <v>40</v>
      </c>
    </row>
    <row r="633" spans="2:8" x14ac:dyDescent="0.25">
      <c r="B633" t="str">
        <f>_xlfn.CONCAT("Prod-",TEXT(ROW(B633),"0000"))</f>
        <v>Prod-0633</v>
      </c>
      <c r="C633" t="s">
        <v>122</v>
      </c>
      <c r="D633" s="1"/>
      <c r="E633" s="1"/>
      <c r="F633">
        <v>34</v>
      </c>
      <c r="H633">
        <f>PRODUTOS[[#This Row],[Entrada]]-PRODUTOS[[#This Row],[Salidas]]</f>
        <v>34</v>
      </c>
    </row>
    <row r="634" spans="2:8" x14ac:dyDescent="0.25">
      <c r="B634" t="str">
        <f>_xlfn.CONCAT("Prod-",TEXT(ROW(B634),"0000"))</f>
        <v>Prod-0634</v>
      </c>
      <c r="C634" t="s">
        <v>118</v>
      </c>
      <c r="D634" s="1"/>
      <c r="E634" s="1"/>
      <c r="F634">
        <v>55</v>
      </c>
      <c r="H634">
        <f>PRODUTOS[[#This Row],[Entrada]]-PRODUTOS[[#This Row],[Salidas]]</f>
        <v>55</v>
      </c>
    </row>
    <row r="635" spans="2:8" x14ac:dyDescent="0.25">
      <c r="B635" t="str">
        <f>_xlfn.CONCAT("Prod-",TEXT(ROW(B635),"0000"))</f>
        <v>Prod-0635</v>
      </c>
      <c r="C635" t="s">
        <v>120</v>
      </c>
      <c r="D635" s="1"/>
      <c r="E635" s="1"/>
      <c r="F635">
        <v>8</v>
      </c>
      <c r="H635">
        <f>PRODUTOS[[#This Row],[Entrada]]-PRODUTOS[[#This Row],[Salidas]]</f>
        <v>8</v>
      </c>
    </row>
    <row r="636" spans="2:8" x14ac:dyDescent="0.25">
      <c r="B636" t="str">
        <f>_xlfn.CONCAT("Prod-",TEXT(ROW(B636),"0000"))</f>
        <v>Prod-0636</v>
      </c>
      <c r="C636" t="s">
        <v>317</v>
      </c>
      <c r="D636" s="1"/>
      <c r="E636" s="1"/>
      <c r="F636">
        <v>6</v>
      </c>
      <c r="H636">
        <f>PRODUTOS[[#This Row],[Entrada]]-PRODUTOS[[#This Row],[Salidas]]</f>
        <v>6</v>
      </c>
    </row>
    <row r="637" spans="2:8" x14ac:dyDescent="0.25">
      <c r="B637" t="str">
        <f>_xlfn.CONCAT("Prod-",TEXT(ROW(B637),"0000"))</f>
        <v>Prod-0637</v>
      </c>
      <c r="C637" t="s">
        <v>100</v>
      </c>
      <c r="D637" s="1"/>
      <c r="E637" s="1"/>
      <c r="F637">
        <v>11</v>
      </c>
      <c r="H637">
        <f>PRODUTOS[[#This Row],[Entrada]]-PRODUTOS[[#This Row],[Salidas]]</f>
        <v>11</v>
      </c>
    </row>
    <row r="638" spans="2:8" x14ac:dyDescent="0.25">
      <c r="B638" t="str">
        <f>_xlfn.CONCAT("Prod-",TEXT(ROW(B638),"0000"))</f>
        <v>Prod-0638</v>
      </c>
      <c r="C638" t="s">
        <v>318</v>
      </c>
      <c r="D638" s="1">
        <v>0.65147999999999995</v>
      </c>
      <c r="E638" s="1">
        <v>1</v>
      </c>
      <c r="F638">
        <v>13</v>
      </c>
      <c r="H638">
        <f>PRODUTOS[[#This Row],[Entrada]]-PRODUTOS[[#This Row],[Salidas]]</f>
        <v>13</v>
      </c>
    </row>
    <row r="639" spans="2:8" x14ac:dyDescent="0.25">
      <c r="B639" t="str">
        <f>_xlfn.CONCAT("Prod-",TEXT(ROW(B639),"0000"))</f>
        <v>Prod-0639</v>
      </c>
      <c r="C639" t="s">
        <v>316</v>
      </c>
      <c r="D639" s="1"/>
      <c r="E639" s="1"/>
      <c r="F639">
        <v>6</v>
      </c>
      <c r="H639">
        <f>PRODUTOS[[#This Row],[Entrada]]-PRODUTOS[[#This Row],[Salidas]]</f>
        <v>6</v>
      </c>
    </row>
    <row r="640" spans="2:8" x14ac:dyDescent="0.25">
      <c r="B640" t="str">
        <f>_xlfn.CONCAT("Prod-",TEXT(ROW(B640),"0000"))</f>
        <v>Prod-0640</v>
      </c>
      <c r="C640" t="s">
        <v>319</v>
      </c>
      <c r="D640" s="1"/>
      <c r="E640" s="1"/>
      <c r="F640">
        <v>3</v>
      </c>
      <c r="H640">
        <f>PRODUTOS[[#This Row],[Entrada]]-PRODUTOS[[#This Row],[Salidas]]</f>
        <v>3</v>
      </c>
    </row>
    <row r="641" spans="2:8" x14ac:dyDescent="0.25">
      <c r="B641" t="str">
        <f>_xlfn.CONCAT("Prod-",TEXT(ROW(B641),"0000"))</f>
        <v>Prod-0641</v>
      </c>
      <c r="C641" t="s">
        <v>79</v>
      </c>
      <c r="D641" s="1"/>
      <c r="E641" s="1"/>
      <c r="F641">
        <v>1</v>
      </c>
      <c r="H641">
        <f>PRODUTOS[[#This Row],[Entrada]]-PRODUTOS[[#This Row],[Salidas]]</f>
        <v>1</v>
      </c>
    </row>
    <row r="642" spans="2:8" x14ac:dyDescent="0.25">
      <c r="B642" t="str">
        <f>_xlfn.CONCAT("Prod-",TEXT(ROW(B642),"0000"))</f>
        <v>Prod-0642</v>
      </c>
      <c r="C642" t="s">
        <v>106</v>
      </c>
      <c r="D642" s="1"/>
      <c r="E642" s="1"/>
      <c r="F642">
        <v>4</v>
      </c>
      <c r="H642">
        <f>PRODUTOS[[#This Row],[Entrada]]-PRODUTOS[[#This Row],[Salidas]]</f>
        <v>4</v>
      </c>
    </row>
    <row r="643" spans="2:8" x14ac:dyDescent="0.25">
      <c r="B643" t="str">
        <f>_xlfn.CONCAT("Prod-",TEXT(ROW(B643),"0000"))</f>
        <v>Prod-0643</v>
      </c>
      <c r="C643" t="s">
        <v>49</v>
      </c>
      <c r="D643" s="1">
        <v>0.78720000000000001</v>
      </c>
      <c r="E643" s="1">
        <v>1.25</v>
      </c>
      <c r="F643">
        <v>20</v>
      </c>
      <c r="H643">
        <f>PRODUTOS[[#This Row],[Entrada]]-PRODUTOS[[#This Row],[Salidas]]</f>
        <v>20</v>
      </c>
    </row>
    <row r="644" spans="2:8" x14ac:dyDescent="0.25">
      <c r="B644" t="str">
        <f>_xlfn.CONCAT("Prod-",TEXT(ROW(B644),"0000"))</f>
        <v>Prod-0644</v>
      </c>
      <c r="C644" t="s">
        <v>48</v>
      </c>
      <c r="D644" s="1"/>
      <c r="E644" s="1"/>
      <c r="F644">
        <v>5</v>
      </c>
      <c r="H644">
        <f>PRODUTOS[[#This Row],[Entrada]]-PRODUTOS[[#This Row],[Salidas]]</f>
        <v>5</v>
      </c>
    </row>
    <row r="645" spans="2:8" x14ac:dyDescent="0.25">
      <c r="B645" t="str">
        <f>_xlfn.CONCAT("Prod-",TEXT(ROW(B645),"0000"))</f>
        <v>Prod-0645</v>
      </c>
      <c r="C645" t="s">
        <v>65</v>
      </c>
      <c r="D645" s="1"/>
      <c r="E645" s="1"/>
      <c r="F645">
        <v>5</v>
      </c>
      <c r="H645">
        <f>PRODUTOS[[#This Row],[Entrada]]-PRODUTOS[[#This Row],[Salidas]]</f>
        <v>5</v>
      </c>
    </row>
    <row r="646" spans="2:8" x14ac:dyDescent="0.25">
      <c r="B646" t="str">
        <f>_xlfn.CONCAT("Prod-",TEXT(ROW(B646),"0000"))</f>
        <v>Prod-0646</v>
      </c>
      <c r="C646" t="s">
        <v>63</v>
      </c>
      <c r="D646" s="1"/>
      <c r="E646" s="1"/>
      <c r="F646">
        <v>3</v>
      </c>
      <c r="H646">
        <f>PRODUTOS[[#This Row],[Entrada]]-PRODUTOS[[#This Row],[Salidas]]</f>
        <v>3</v>
      </c>
    </row>
    <row r="647" spans="2:8" x14ac:dyDescent="0.25">
      <c r="B647" t="str">
        <f>_xlfn.CONCAT("Prod-",TEXT(ROW(B647),"0000"))</f>
        <v>Prod-0647</v>
      </c>
      <c r="C647" t="s">
        <v>62</v>
      </c>
      <c r="D647" s="1"/>
      <c r="E647" s="1"/>
      <c r="F647">
        <v>7</v>
      </c>
      <c r="H647">
        <f>PRODUTOS[[#This Row],[Entrada]]-PRODUTOS[[#This Row],[Salidas]]</f>
        <v>7</v>
      </c>
    </row>
    <row r="648" spans="2:8" x14ac:dyDescent="0.25">
      <c r="B648" t="str">
        <f>_xlfn.CONCAT("Prod-",TEXT(ROW(B648),"0000"))</f>
        <v>Prod-0648</v>
      </c>
      <c r="C648" t="s">
        <v>666</v>
      </c>
      <c r="D648" s="1">
        <v>2.7020400000000002</v>
      </c>
      <c r="E648" s="1">
        <v>3.25</v>
      </c>
      <c r="F648">
        <v>20</v>
      </c>
      <c r="H648">
        <f>PRODUTOS[[#This Row],[Entrada]]-PRODUTOS[[#This Row],[Salidas]]</f>
        <v>20</v>
      </c>
    </row>
    <row r="649" spans="2:8" x14ac:dyDescent="0.25">
      <c r="B649" t="str">
        <f>_xlfn.CONCAT("Prod-",TEXT(ROW(B649),"0000"))</f>
        <v>Prod-0649</v>
      </c>
      <c r="C649" t="s">
        <v>121</v>
      </c>
      <c r="D649" s="1"/>
      <c r="E649" s="1"/>
      <c r="F649">
        <v>43</v>
      </c>
      <c r="H649">
        <f>PRODUTOS[[#This Row],[Entrada]]-PRODUTOS[[#This Row],[Salidas]]</f>
        <v>43</v>
      </c>
    </row>
    <row r="650" spans="2:8" x14ac:dyDescent="0.25">
      <c r="B650" t="str">
        <f>_xlfn.CONCAT("Prod-",TEXT(ROW(B650),"0000"))</f>
        <v>Prod-0650</v>
      </c>
      <c r="C650" t="s">
        <v>298</v>
      </c>
      <c r="D650" s="1"/>
      <c r="E650" s="1"/>
      <c r="F650">
        <v>16</v>
      </c>
      <c r="H650">
        <f>PRODUTOS[[#This Row],[Entrada]]-PRODUTOS[[#This Row],[Salidas]]</f>
        <v>16</v>
      </c>
    </row>
    <row r="651" spans="2:8" x14ac:dyDescent="0.25">
      <c r="B651" t="str">
        <f>_xlfn.CONCAT("Prod-",TEXT(ROW(B651),"0000"))</f>
        <v>Prod-0651</v>
      </c>
      <c r="C651" t="s">
        <v>287</v>
      </c>
      <c r="D651" s="1"/>
      <c r="E651" s="1"/>
      <c r="F651">
        <v>13</v>
      </c>
      <c r="H651">
        <f>PRODUTOS[[#This Row],[Entrada]]-PRODUTOS[[#This Row],[Salidas]]</f>
        <v>13</v>
      </c>
    </row>
    <row r="652" spans="2:8" x14ac:dyDescent="0.25">
      <c r="B652" t="str">
        <f>_xlfn.CONCAT("Prod-",TEXT(ROW(B652),"0000"))</f>
        <v>Prod-0652</v>
      </c>
      <c r="C652" t="s">
        <v>297</v>
      </c>
      <c r="D652" s="1"/>
      <c r="E652" s="1"/>
      <c r="F652">
        <v>7</v>
      </c>
      <c r="H652">
        <f>PRODUTOS[[#This Row],[Entrada]]-PRODUTOS[[#This Row],[Salidas]]</f>
        <v>7</v>
      </c>
    </row>
    <row r="653" spans="2:8" x14ac:dyDescent="0.25">
      <c r="B653" t="str">
        <f>_xlfn.CONCAT("Prod-",TEXT(ROW(B653),"0000"))</f>
        <v>Prod-0653</v>
      </c>
      <c r="C653" t="s">
        <v>297</v>
      </c>
      <c r="D653" s="1"/>
      <c r="E653" s="1"/>
      <c r="F653">
        <v>2</v>
      </c>
      <c r="H653">
        <f>PRODUTOS[[#This Row],[Entrada]]-PRODUTOS[[#This Row],[Salidas]]</f>
        <v>2</v>
      </c>
    </row>
    <row r="654" spans="2:8" x14ac:dyDescent="0.25">
      <c r="B654" t="str">
        <f>_xlfn.CONCAT("Prod-",TEXT(ROW(B654),"0000"))</f>
        <v>Prod-0654</v>
      </c>
      <c r="C654" t="s">
        <v>308</v>
      </c>
      <c r="D654" s="1"/>
      <c r="E654" s="1"/>
      <c r="F654">
        <v>3</v>
      </c>
      <c r="H654">
        <f>PRODUTOS[[#This Row],[Entrada]]-PRODUTOS[[#This Row],[Salidas]]</f>
        <v>3</v>
      </c>
    </row>
    <row r="655" spans="2:8" x14ac:dyDescent="0.25">
      <c r="B655" t="str">
        <f>_xlfn.CONCAT("Prod-",TEXT(ROW(B655),"0000"))</f>
        <v>Prod-0655</v>
      </c>
      <c r="C655" t="s">
        <v>309</v>
      </c>
      <c r="D655" s="1"/>
      <c r="E655" s="1"/>
      <c r="F655">
        <v>6</v>
      </c>
      <c r="H655">
        <f>PRODUTOS[[#This Row],[Entrada]]-PRODUTOS[[#This Row],[Salidas]]</f>
        <v>6</v>
      </c>
    </row>
    <row r="656" spans="2:8" x14ac:dyDescent="0.25">
      <c r="B656" t="str">
        <f>_xlfn.CONCAT("Prod-",TEXT(ROW(B656),"0000"))</f>
        <v>Prod-0656</v>
      </c>
      <c r="C656" t="s">
        <v>302</v>
      </c>
      <c r="D656" s="1"/>
      <c r="E656" s="1"/>
      <c r="F656">
        <v>10</v>
      </c>
      <c r="H656">
        <f>PRODUTOS[[#This Row],[Entrada]]-PRODUTOS[[#This Row],[Salidas]]</f>
        <v>10</v>
      </c>
    </row>
    <row r="657" spans="2:8" x14ac:dyDescent="0.25">
      <c r="B657" t="str">
        <f>_xlfn.CONCAT("Prod-",TEXT(ROW(B657),"0000"))</f>
        <v>Prod-0657</v>
      </c>
      <c r="C657" t="s">
        <v>327</v>
      </c>
      <c r="D657" s="1"/>
      <c r="E657" s="1"/>
      <c r="F657">
        <v>5</v>
      </c>
      <c r="H657">
        <f>PRODUTOS[[#This Row],[Entrada]]-PRODUTOS[[#This Row],[Salidas]]</f>
        <v>5</v>
      </c>
    </row>
    <row r="658" spans="2:8" x14ac:dyDescent="0.25">
      <c r="B658" t="str">
        <f>_xlfn.CONCAT("Prod-",TEXT(ROW(B658),"0000"))</f>
        <v>Prod-0658</v>
      </c>
      <c r="C658" t="s">
        <v>328</v>
      </c>
      <c r="D658" s="1"/>
      <c r="E658" s="1"/>
      <c r="F658">
        <v>4</v>
      </c>
      <c r="H658">
        <f>PRODUTOS[[#This Row],[Entrada]]-PRODUTOS[[#This Row],[Salidas]]</f>
        <v>4</v>
      </c>
    </row>
    <row r="659" spans="2:8" x14ac:dyDescent="0.25">
      <c r="B659" t="str">
        <f>_xlfn.CONCAT("Prod-",TEXT(ROW(B659),"0000"))</f>
        <v>Prod-0659</v>
      </c>
      <c r="C659" t="s">
        <v>539</v>
      </c>
      <c r="D659" s="1"/>
      <c r="E659" s="1"/>
      <c r="F659">
        <v>2</v>
      </c>
      <c r="H659">
        <f>PRODUTOS[[#This Row],[Entrada]]-PRODUTOS[[#This Row],[Salidas]]</f>
        <v>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DE91-AB6A-4232-811D-94F08351813F}">
  <sheetPr codeName="Hoja3"/>
  <dimension ref="B6:K22"/>
  <sheetViews>
    <sheetView topLeftCell="A4" workbookViewId="0">
      <selection activeCell="C7" sqref="C7"/>
    </sheetView>
  </sheetViews>
  <sheetFormatPr baseColWidth="10" defaultRowHeight="15" x14ac:dyDescent="0.25"/>
  <cols>
    <col min="2" max="2" width="15.5703125" customWidth="1"/>
    <col min="3" max="3" width="21.140625" customWidth="1"/>
    <col min="4" max="5" width="14" customWidth="1"/>
    <col min="7" max="7" width="15.140625" customWidth="1"/>
    <col min="8" max="8" width="13.42578125" customWidth="1"/>
    <col min="9" max="9" width="14.140625" customWidth="1"/>
    <col min="10" max="10" width="12.5703125" customWidth="1"/>
    <col min="11" max="11" width="15" customWidth="1"/>
  </cols>
  <sheetData>
    <row r="6" spans="2:3" x14ac:dyDescent="0.25">
      <c r="B6" t="s">
        <v>6</v>
      </c>
      <c r="C6" s="3"/>
    </row>
    <row r="7" spans="2:3" x14ac:dyDescent="0.25">
      <c r="B7" t="s">
        <v>19</v>
      </c>
      <c r="C7" s="3"/>
    </row>
    <row r="8" spans="2:3" x14ac:dyDescent="0.25">
      <c r="B8" t="s">
        <v>0</v>
      </c>
      <c r="C8" s="2" t="e">
        <f>VLOOKUP(C7,PRODUTOS[],2,FALSE)</f>
        <v>#N/A</v>
      </c>
    </row>
    <row r="9" spans="2:3" x14ac:dyDescent="0.25">
      <c r="B9" t="s">
        <v>12</v>
      </c>
      <c r="C9" s="2"/>
    </row>
    <row r="10" spans="2:3" x14ac:dyDescent="0.25">
      <c r="B10" t="s">
        <v>7</v>
      </c>
      <c r="C10" s="2"/>
    </row>
    <row r="11" spans="2:3" x14ac:dyDescent="0.25">
      <c r="B11" t="s">
        <v>1</v>
      </c>
      <c r="C11" s="4" t="e">
        <f>VLOOKUP(C7,PRODUTOS[],3,FALSE)</f>
        <v>#N/A</v>
      </c>
    </row>
    <row r="12" spans="2:3" x14ac:dyDescent="0.25">
      <c r="B12" t="s">
        <v>2</v>
      </c>
      <c r="C12" s="4" t="e">
        <f>VLOOKUP(C7,PRODUTOS[],4,FALSE)</f>
        <v>#N/A</v>
      </c>
    </row>
    <row r="13" spans="2:3" x14ac:dyDescent="0.25">
      <c r="B13" t="s">
        <v>8</v>
      </c>
      <c r="C13" s="4" t="e">
        <f>IF(C9="Compras",C11*C10,C12*C10)</f>
        <v>#N/A</v>
      </c>
    </row>
    <row r="14" spans="2:3" x14ac:dyDescent="0.25">
      <c r="B14" t="s">
        <v>9</v>
      </c>
      <c r="C14" s="2"/>
    </row>
    <row r="20" spans="2:11" x14ac:dyDescent="0.25">
      <c r="B20" t="s">
        <v>19</v>
      </c>
      <c r="C20" t="s">
        <v>6</v>
      </c>
      <c r="D20" t="s">
        <v>21</v>
      </c>
      <c r="E20" t="s">
        <v>12</v>
      </c>
      <c r="F20" t="s">
        <v>7</v>
      </c>
      <c r="G20" t="s">
        <v>1</v>
      </c>
      <c r="H20" t="s">
        <v>2</v>
      </c>
      <c r="I20" t="s">
        <v>17</v>
      </c>
      <c r="J20" t="s">
        <v>18</v>
      </c>
      <c r="K20" t="s">
        <v>9</v>
      </c>
    </row>
    <row r="21" spans="2:11" x14ac:dyDescent="0.25">
      <c r="B21" t="s">
        <v>24</v>
      </c>
      <c r="C21">
        <v>4</v>
      </c>
      <c r="D21" t="s">
        <v>11</v>
      </c>
      <c r="E21" t="s">
        <v>15</v>
      </c>
      <c r="F21">
        <v>2</v>
      </c>
      <c r="G21">
        <v>15</v>
      </c>
      <c r="H21">
        <v>4</v>
      </c>
      <c r="I21" t="str">
        <f>IF(Tabla4[[#This Row],[Movimiento]]="Compras",Tabla4[[#This Row],[Cantidad]]*Tabla4[[#This Row],[Precio Compra]],"")</f>
        <v/>
      </c>
      <c r="J21">
        <f>IF(Tabla4[[#This Row],[Movimiento]]="Ventas",Tabla4[[#This Row],[Cantidad]]*Tabla4[[#This Row],[Precio Venta]],"")</f>
        <v>8</v>
      </c>
      <c r="K21" s="2" t="s">
        <v>25</v>
      </c>
    </row>
    <row r="22" spans="2:11" x14ac:dyDescent="0.25">
      <c r="B22" t="s">
        <v>20</v>
      </c>
      <c r="C22" s="5">
        <v>5</v>
      </c>
      <c r="D22" t="s">
        <v>10</v>
      </c>
      <c r="E22" t="s">
        <v>14</v>
      </c>
      <c r="F22">
        <v>5</v>
      </c>
      <c r="G22">
        <v>35</v>
      </c>
      <c r="H22">
        <v>1</v>
      </c>
      <c r="I22">
        <f>IF(Tabla4[[#This Row],[Movimiento]]="Compras",Tabla4[[#This Row],[Cantidad]]*Tabla4[[#This Row],[Precio Compra]],"")</f>
        <v>175</v>
      </c>
      <c r="J22" t="str">
        <f>IF(Tabla4[[#This Row],[Movimiento]]="Ventas",Tabla4[[#This Row],[Cantidad]]*Tabla4[[#This Row],[Precio Venta]],"")</f>
        <v/>
      </c>
      <c r="K22" s="2" t="s">
        <v>22</v>
      </c>
    </row>
  </sheetData>
  <dataValidations count="2">
    <dataValidation type="list" allowBlank="1" showInputMessage="1" showErrorMessage="1" sqref="C9" xr:uid="{7905B9A1-5280-419D-85CD-D41854E212D2}">
      <formula1>lista_movimientos</formula1>
    </dataValidation>
    <dataValidation type="list" allowBlank="1" showInputMessage="1" showErrorMessage="1" sqref="C7" xr:uid="{B5B0E576-E1A5-4C85-AF8D-4E5E1C7B9D76}">
      <formula1>codigo_producto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DEFB-0260-439A-B3BC-5686204A0BEB}">
  <sheetPr codeName="Hoja4"/>
  <dimension ref="A1"/>
  <sheetViews>
    <sheetView workbookViewId="0">
      <selection activeCell="A3" sqref="A3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2AA2-E6B3-4999-A8A9-7EE245C71989}">
  <sheetPr codeName="Hoja5"/>
  <dimension ref="A6:I7"/>
  <sheetViews>
    <sheetView workbookViewId="0">
      <selection activeCell="A7" sqref="A7:XFD7"/>
    </sheetView>
  </sheetViews>
  <sheetFormatPr baseColWidth="10" defaultRowHeight="15" x14ac:dyDescent="0.25"/>
  <cols>
    <col min="4" max="4" width="13" customWidth="1"/>
    <col min="5" max="5" width="10.85546875" customWidth="1"/>
    <col min="6" max="6" width="15.140625" customWidth="1"/>
    <col min="7" max="7" width="13.42578125" customWidth="1"/>
    <col min="8" max="8" width="15.42578125" customWidth="1"/>
    <col min="9" max="9" width="15" customWidth="1"/>
  </cols>
  <sheetData>
    <row r="6" spans="1:9" x14ac:dyDescent="0.25">
      <c r="A6" t="s">
        <v>19</v>
      </c>
      <c r="B6" t="s">
        <v>6</v>
      </c>
      <c r="C6" t="s">
        <v>0</v>
      </c>
      <c r="D6" t="s">
        <v>12</v>
      </c>
      <c r="E6" t="s">
        <v>7</v>
      </c>
      <c r="F6" t="s">
        <v>1</v>
      </c>
      <c r="G6" t="s">
        <v>2</v>
      </c>
      <c r="H6" t="s">
        <v>23</v>
      </c>
      <c r="I6" t="s">
        <v>9</v>
      </c>
    </row>
    <row r="7" spans="1:9" x14ac:dyDescent="0.25">
      <c r="C7" t="e">
        <v>#N/A</v>
      </c>
      <c r="F7" t="e">
        <v>#N/A</v>
      </c>
      <c r="G7" t="e"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33419-C68E-4EB8-BF81-C60D11FF8BEB}">
  <sheetPr codeName="Hoja6"/>
  <dimension ref="A1"/>
  <sheetViews>
    <sheetView workbookViewId="0">
      <selection activeCell="A4" sqref="A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DACB1-8D5D-4700-9DCA-792A416DB82B}">
  <sheetPr codeName="Hoja7"/>
  <dimension ref="A1"/>
  <sheetViews>
    <sheetView workbookViewId="0">
      <selection activeCell="A3" sqref="A3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84382-114D-4F65-895D-1DF29BFB6F57}">
  <sheetPr codeName="Hoja8"/>
  <dimension ref="A1"/>
  <sheetViews>
    <sheetView workbookViewId="0">
      <selection activeCell="A3" sqref="A3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BECA5-0470-4FA7-AC05-6FA7200CFE91}">
  <sheetPr codeName="Hoja9"/>
  <dimension ref="A1"/>
  <sheetViews>
    <sheetView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8A621-9565-4CAE-8051-C994291FC9E0}">
  <sheetPr codeName="Hoja10"/>
  <dimension ref="A1:B7"/>
  <sheetViews>
    <sheetView workbookViewId="0">
      <selection activeCell="B11" sqref="B11"/>
    </sheetView>
  </sheetViews>
  <sheetFormatPr baseColWidth="10" defaultRowHeight="15" x14ac:dyDescent="0.25"/>
  <cols>
    <col min="2" max="2" width="13.7109375" customWidth="1"/>
  </cols>
  <sheetData>
    <row r="1" spans="1:2" x14ac:dyDescent="0.25">
      <c r="A1" t="s">
        <v>12</v>
      </c>
    </row>
    <row r="5" spans="1:2" x14ac:dyDescent="0.25">
      <c r="B5" t="s">
        <v>13</v>
      </c>
    </row>
    <row r="6" spans="1:2" x14ac:dyDescent="0.25">
      <c r="B6" t="s">
        <v>14</v>
      </c>
    </row>
    <row r="7" spans="1:2" x14ac:dyDescent="0.25">
      <c r="B7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45AAA-B87E-492E-A7D3-80FF29E4346B}">
  <sheetPr codeName="Hoja11"/>
  <dimension ref="A1"/>
  <sheetViews>
    <sheetView workbookViewId="0">
      <selection activeCell="F18" sqref="F18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Menu</vt:lpstr>
      <vt:lpstr>Productos</vt:lpstr>
      <vt:lpstr>Movimientos</vt:lpstr>
      <vt:lpstr>Ventas</vt:lpstr>
      <vt:lpstr>Compras</vt:lpstr>
      <vt:lpstr>Reporte Ventas</vt:lpstr>
      <vt:lpstr>Reporte Compras</vt:lpstr>
      <vt:lpstr>Reporte Unitario</vt:lpstr>
      <vt:lpstr>Clientes</vt:lpstr>
      <vt:lpstr>movimiento</vt:lpstr>
      <vt:lpstr>Factura</vt:lpstr>
      <vt:lpstr>codigo_producto</vt:lpstr>
      <vt:lpstr>lista_movimientos</vt:lpstr>
      <vt:lpstr>lista_productos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Lugmaña</dc:creator>
  <cp:lastModifiedBy>Est. Francisco Xavier Lugmaña Ayo</cp:lastModifiedBy>
  <dcterms:created xsi:type="dcterms:W3CDTF">2024-01-09T02:55:20Z</dcterms:created>
  <dcterms:modified xsi:type="dcterms:W3CDTF">2024-02-03T21:02:47Z</dcterms:modified>
</cp:coreProperties>
</file>